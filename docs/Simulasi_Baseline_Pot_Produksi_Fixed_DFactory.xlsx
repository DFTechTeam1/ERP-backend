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R-Dfactory\Downloads\"/>
    </mc:Choice>
  </mc:AlternateContent>
  <xr:revisionPtr revIDLastSave="0" documentId="13_ncr:1_{C35FD6EC-1C2C-43E5-88CA-3BB294189822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ingkasan" sheetId="1" r:id="rId1"/>
    <sheet name="Tarif_Plan" sheetId="2" r:id="rId2"/>
    <sheet name="Pembagian_Pot_PM" sheetId="3" r:id="rId3"/>
    <sheet name="Simulasi_Rekap_Produksi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2" i="4" l="1"/>
  <c r="H162" i="4"/>
  <c r="F162" i="4"/>
  <c r="K161" i="4"/>
  <c r="H161" i="4"/>
  <c r="F161" i="4"/>
  <c r="K160" i="4"/>
  <c r="H160" i="4"/>
  <c r="F160" i="4"/>
  <c r="K159" i="4"/>
  <c r="H159" i="4"/>
  <c r="F159" i="4"/>
  <c r="K158" i="4"/>
  <c r="H158" i="4"/>
  <c r="F158" i="4"/>
  <c r="K157" i="4"/>
  <c r="H157" i="4"/>
  <c r="F157" i="4"/>
  <c r="K156" i="4"/>
  <c r="H156" i="4"/>
  <c r="F156" i="4"/>
  <c r="K155" i="4"/>
  <c r="H155" i="4"/>
  <c r="F155" i="4"/>
  <c r="K154" i="4"/>
  <c r="H154" i="4"/>
  <c r="F154" i="4"/>
  <c r="K153" i="4"/>
  <c r="H153" i="4"/>
  <c r="F153" i="4"/>
  <c r="K152" i="4"/>
  <c r="H152" i="4"/>
  <c r="F152" i="4"/>
  <c r="K151" i="4"/>
  <c r="H151" i="4"/>
  <c r="F151" i="4"/>
  <c r="K150" i="4"/>
  <c r="H150" i="4"/>
  <c r="F150" i="4"/>
  <c r="K149" i="4"/>
  <c r="H149" i="4"/>
  <c r="F149" i="4"/>
  <c r="K148" i="4"/>
  <c r="H148" i="4"/>
  <c r="F148" i="4"/>
  <c r="K147" i="4"/>
  <c r="H147" i="4"/>
  <c r="F147" i="4"/>
  <c r="K146" i="4"/>
  <c r="H146" i="4"/>
  <c r="F146" i="4"/>
  <c r="K145" i="4"/>
  <c r="H145" i="4"/>
  <c r="F145" i="4"/>
  <c r="K144" i="4"/>
  <c r="H144" i="4"/>
  <c r="F144" i="4"/>
  <c r="K143" i="4"/>
  <c r="H143" i="4"/>
  <c r="F143" i="4"/>
  <c r="K142" i="4"/>
  <c r="H142" i="4"/>
  <c r="F142" i="4"/>
  <c r="K141" i="4"/>
  <c r="H141" i="4"/>
  <c r="F141" i="4"/>
  <c r="K140" i="4"/>
  <c r="H140" i="4"/>
  <c r="F140" i="4"/>
  <c r="K139" i="4"/>
  <c r="H139" i="4"/>
  <c r="F139" i="4"/>
  <c r="K138" i="4"/>
  <c r="H138" i="4"/>
  <c r="F138" i="4"/>
  <c r="K137" i="4"/>
  <c r="H137" i="4"/>
  <c r="F137" i="4"/>
  <c r="K136" i="4"/>
  <c r="H136" i="4"/>
  <c r="F136" i="4"/>
  <c r="K135" i="4"/>
  <c r="H135" i="4"/>
  <c r="F135" i="4"/>
  <c r="K134" i="4"/>
  <c r="H134" i="4"/>
  <c r="F134" i="4"/>
  <c r="K133" i="4"/>
  <c r="H133" i="4"/>
  <c r="F133" i="4"/>
  <c r="K132" i="4"/>
  <c r="H132" i="4"/>
  <c r="F132" i="4"/>
  <c r="K131" i="4"/>
  <c r="H131" i="4"/>
  <c r="F131" i="4"/>
  <c r="K130" i="4"/>
  <c r="H130" i="4"/>
  <c r="F130" i="4"/>
  <c r="K129" i="4"/>
  <c r="H129" i="4"/>
  <c r="F129" i="4"/>
  <c r="K128" i="4"/>
  <c r="H128" i="4"/>
  <c r="F128" i="4"/>
  <c r="K127" i="4"/>
  <c r="H127" i="4"/>
  <c r="F127" i="4"/>
  <c r="K126" i="4"/>
  <c r="H126" i="4"/>
  <c r="F126" i="4"/>
  <c r="K125" i="4"/>
  <c r="H125" i="4"/>
  <c r="F125" i="4"/>
  <c r="K124" i="4"/>
  <c r="H124" i="4"/>
  <c r="F124" i="4"/>
  <c r="K123" i="4"/>
  <c r="H123" i="4"/>
  <c r="F123" i="4"/>
  <c r="K122" i="4"/>
  <c r="H122" i="4"/>
  <c r="F122" i="4"/>
  <c r="K121" i="4"/>
  <c r="H121" i="4"/>
  <c r="F121" i="4"/>
  <c r="K120" i="4"/>
  <c r="H120" i="4"/>
  <c r="F120" i="4"/>
  <c r="K119" i="4"/>
  <c r="H119" i="4"/>
  <c r="F119" i="4"/>
  <c r="K118" i="4"/>
  <c r="H118" i="4"/>
  <c r="F118" i="4"/>
  <c r="K117" i="4"/>
  <c r="H117" i="4"/>
  <c r="F117" i="4"/>
  <c r="K116" i="4"/>
  <c r="H116" i="4"/>
  <c r="F116" i="4"/>
  <c r="K115" i="4"/>
  <c r="H115" i="4"/>
  <c r="F115" i="4"/>
  <c r="K114" i="4"/>
  <c r="H114" i="4"/>
  <c r="F114" i="4"/>
  <c r="K113" i="4"/>
  <c r="H113" i="4"/>
  <c r="F113" i="4"/>
  <c r="K112" i="4"/>
  <c r="H112" i="4"/>
  <c r="F112" i="4"/>
  <c r="K111" i="4"/>
  <c r="H111" i="4"/>
  <c r="F111" i="4"/>
  <c r="K110" i="4"/>
  <c r="H110" i="4"/>
  <c r="F110" i="4"/>
  <c r="K109" i="4"/>
  <c r="H109" i="4"/>
  <c r="F109" i="4"/>
  <c r="K108" i="4"/>
  <c r="H108" i="4"/>
  <c r="F108" i="4"/>
  <c r="K107" i="4"/>
  <c r="H107" i="4"/>
  <c r="F107" i="4"/>
  <c r="K106" i="4"/>
  <c r="H106" i="4"/>
  <c r="F106" i="4"/>
  <c r="K105" i="4"/>
  <c r="H105" i="4"/>
  <c r="F105" i="4"/>
  <c r="K104" i="4"/>
  <c r="H104" i="4"/>
  <c r="F104" i="4"/>
  <c r="K103" i="4"/>
  <c r="H103" i="4"/>
  <c r="F103" i="4"/>
  <c r="K102" i="4"/>
  <c r="H102" i="4"/>
  <c r="F102" i="4"/>
  <c r="K101" i="4"/>
  <c r="H101" i="4"/>
  <c r="F101" i="4"/>
  <c r="K100" i="4"/>
  <c r="H100" i="4"/>
  <c r="F100" i="4"/>
  <c r="K99" i="4"/>
  <c r="H99" i="4"/>
  <c r="F99" i="4"/>
  <c r="K98" i="4"/>
  <c r="H98" i="4"/>
  <c r="F98" i="4"/>
  <c r="K97" i="4"/>
  <c r="H97" i="4"/>
  <c r="F97" i="4"/>
  <c r="K96" i="4"/>
  <c r="H96" i="4"/>
  <c r="F96" i="4"/>
  <c r="K95" i="4"/>
  <c r="H95" i="4"/>
  <c r="F95" i="4"/>
  <c r="K94" i="4"/>
  <c r="H94" i="4"/>
  <c r="F94" i="4"/>
  <c r="K93" i="4"/>
  <c r="H93" i="4"/>
  <c r="F93" i="4"/>
  <c r="K92" i="4"/>
  <c r="H92" i="4"/>
  <c r="F92" i="4"/>
  <c r="K91" i="4"/>
  <c r="H91" i="4"/>
  <c r="F91" i="4"/>
  <c r="K90" i="4"/>
  <c r="H90" i="4"/>
  <c r="F90" i="4"/>
  <c r="K89" i="4"/>
  <c r="H89" i="4"/>
  <c r="F89" i="4"/>
  <c r="K88" i="4"/>
  <c r="H88" i="4"/>
  <c r="F88" i="4"/>
  <c r="K87" i="4"/>
  <c r="H87" i="4"/>
  <c r="F87" i="4"/>
  <c r="K86" i="4"/>
  <c r="H86" i="4"/>
  <c r="F86" i="4"/>
  <c r="K85" i="4"/>
  <c r="H85" i="4"/>
  <c r="F85" i="4"/>
  <c r="K84" i="4"/>
  <c r="H84" i="4"/>
  <c r="F84" i="4"/>
  <c r="K83" i="4"/>
  <c r="H83" i="4"/>
  <c r="F83" i="4"/>
  <c r="O83" i="4" s="1"/>
  <c r="K82" i="4"/>
  <c r="H82" i="4"/>
  <c r="F82" i="4"/>
  <c r="K81" i="4"/>
  <c r="H81" i="4"/>
  <c r="F81" i="4"/>
  <c r="K80" i="4"/>
  <c r="H80" i="4"/>
  <c r="F80" i="4"/>
  <c r="K79" i="4"/>
  <c r="H79" i="4"/>
  <c r="F79" i="4"/>
  <c r="K78" i="4"/>
  <c r="H78" i="4"/>
  <c r="F78" i="4"/>
  <c r="K77" i="4"/>
  <c r="H77" i="4"/>
  <c r="F77" i="4"/>
  <c r="K76" i="4"/>
  <c r="H76" i="4"/>
  <c r="F76" i="4"/>
  <c r="K75" i="4"/>
  <c r="H75" i="4"/>
  <c r="F75" i="4"/>
  <c r="K74" i="4"/>
  <c r="H74" i="4"/>
  <c r="F74" i="4"/>
  <c r="K73" i="4"/>
  <c r="H73" i="4"/>
  <c r="F73" i="4"/>
  <c r="K72" i="4"/>
  <c r="H72" i="4"/>
  <c r="F72" i="4"/>
  <c r="K71" i="4"/>
  <c r="H71" i="4"/>
  <c r="F71" i="4"/>
  <c r="K70" i="4"/>
  <c r="H70" i="4"/>
  <c r="F70" i="4"/>
  <c r="K69" i="4"/>
  <c r="H69" i="4"/>
  <c r="F69" i="4"/>
  <c r="K68" i="4"/>
  <c r="H68" i="4"/>
  <c r="F68" i="4"/>
  <c r="K67" i="4"/>
  <c r="H67" i="4"/>
  <c r="F67" i="4"/>
  <c r="K66" i="4"/>
  <c r="H66" i="4"/>
  <c r="F66" i="4"/>
  <c r="K65" i="4"/>
  <c r="H65" i="4"/>
  <c r="F65" i="4"/>
  <c r="K64" i="4"/>
  <c r="H64" i="4"/>
  <c r="F64" i="4"/>
  <c r="K63" i="4"/>
  <c r="H63" i="4"/>
  <c r="F63" i="4"/>
  <c r="K62" i="4"/>
  <c r="H62" i="4"/>
  <c r="F62" i="4"/>
  <c r="K61" i="4"/>
  <c r="H61" i="4"/>
  <c r="F61" i="4"/>
  <c r="K60" i="4"/>
  <c r="H60" i="4"/>
  <c r="F60" i="4"/>
  <c r="K59" i="4"/>
  <c r="H59" i="4"/>
  <c r="F59" i="4"/>
  <c r="K58" i="4"/>
  <c r="H58" i="4"/>
  <c r="F58" i="4"/>
  <c r="K57" i="4"/>
  <c r="H57" i="4"/>
  <c r="F57" i="4"/>
  <c r="K56" i="4"/>
  <c r="H56" i="4"/>
  <c r="F56" i="4"/>
  <c r="K55" i="4"/>
  <c r="H55" i="4"/>
  <c r="F55" i="4"/>
  <c r="K54" i="4"/>
  <c r="H54" i="4"/>
  <c r="F54" i="4"/>
  <c r="K53" i="4"/>
  <c r="H53" i="4"/>
  <c r="F53" i="4"/>
  <c r="K52" i="4"/>
  <c r="H52" i="4"/>
  <c r="F52" i="4"/>
  <c r="K51" i="4"/>
  <c r="H51" i="4"/>
  <c r="F51" i="4"/>
  <c r="K50" i="4"/>
  <c r="H50" i="4"/>
  <c r="F50" i="4"/>
  <c r="K49" i="4"/>
  <c r="H49" i="4"/>
  <c r="F49" i="4"/>
  <c r="K48" i="4"/>
  <c r="H48" i="4"/>
  <c r="F48" i="4"/>
  <c r="K47" i="4"/>
  <c r="H47" i="4"/>
  <c r="F47" i="4"/>
  <c r="K46" i="4"/>
  <c r="H46" i="4"/>
  <c r="F46" i="4"/>
  <c r="K45" i="4"/>
  <c r="H45" i="4"/>
  <c r="F45" i="4"/>
  <c r="K44" i="4"/>
  <c r="H44" i="4"/>
  <c r="F44" i="4"/>
  <c r="K43" i="4"/>
  <c r="H43" i="4"/>
  <c r="F43" i="4"/>
  <c r="K42" i="4"/>
  <c r="H42" i="4"/>
  <c r="F42" i="4"/>
  <c r="K41" i="4"/>
  <c r="H41" i="4"/>
  <c r="F41" i="4"/>
  <c r="K40" i="4"/>
  <c r="H40" i="4"/>
  <c r="F40" i="4"/>
  <c r="K39" i="4"/>
  <c r="H39" i="4"/>
  <c r="F39" i="4"/>
  <c r="K38" i="4"/>
  <c r="H38" i="4"/>
  <c r="F38" i="4"/>
  <c r="K37" i="4"/>
  <c r="H37" i="4"/>
  <c r="F37" i="4"/>
  <c r="K36" i="4"/>
  <c r="H36" i="4"/>
  <c r="F36" i="4"/>
  <c r="K35" i="4"/>
  <c r="H35" i="4"/>
  <c r="F35" i="4"/>
  <c r="K34" i="4"/>
  <c r="H34" i="4"/>
  <c r="F34" i="4"/>
  <c r="K33" i="4"/>
  <c r="H33" i="4"/>
  <c r="F33" i="4"/>
  <c r="K32" i="4"/>
  <c r="H32" i="4"/>
  <c r="F32" i="4"/>
  <c r="K31" i="4"/>
  <c r="H31" i="4"/>
  <c r="F31" i="4"/>
  <c r="K30" i="4"/>
  <c r="H30" i="4"/>
  <c r="F30" i="4"/>
  <c r="K29" i="4"/>
  <c r="H29" i="4"/>
  <c r="F29" i="4"/>
  <c r="K28" i="4"/>
  <c r="H28" i="4"/>
  <c r="F28" i="4"/>
  <c r="K27" i="4"/>
  <c r="H27" i="4"/>
  <c r="F27" i="4"/>
  <c r="K26" i="4"/>
  <c r="H26" i="4"/>
  <c r="F26" i="4"/>
  <c r="K25" i="4"/>
  <c r="H25" i="4"/>
  <c r="F25" i="4"/>
  <c r="K24" i="4"/>
  <c r="H24" i="4"/>
  <c r="F24" i="4"/>
  <c r="K23" i="4"/>
  <c r="H23" i="4"/>
  <c r="F23" i="4"/>
  <c r="K22" i="4"/>
  <c r="H22" i="4"/>
  <c r="F22" i="4"/>
  <c r="K21" i="4"/>
  <c r="H21" i="4"/>
  <c r="F21" i="4"/>
  <c r="K20" i="4"/>
  <c r="H20" i="4"/>
  <c r="F20" i="4"/>
  <c r="K19" i="4"/>
  <c r="H19" i="4"/>
  <c r="F19" i="4"/>
  <c r="K18" i="4"/>
  <c r="H18" i="4"/>
  <c r="F18" i="4"/>
  <c r="K17" i="4"/>
  <c r="H17" i="4"/>
  <c r="F17" i="4"/>
  <c r="K16" i="4"/>
  <c r="H16" i="4"/>
  <c r="F16" i="4"/>
  <c r="K15" i="4"/>
  <c r="H15" i="4"/>
  <c r="F15" i="4"/>
  <c r="K14" i="4"/>
  <c r="H14" i="4"/>
  <c r="F14" i="4"/>
  <c r="K13" i="4"/>
  <c r="H13" i="4"/>
  <c r="F13" i="4"/>
  <c r="K12" i="4"/>
  <c r="H12" i="4"/>
  <c r="F12" i="4"/>
  <c r="K11" i="4"/>
  <c r="H11" i="4"/>
  <c r="F11" i="4"/>
  <c r="K10" i="4"/>
  <c r="H10" i="4"/>
  <c r="F10" i="4"/>
  <c r="K9" i="4"/>
  <c r="H9" i="4"/>
  <c r="F9" i="4"/>
  <c r="K8" i="4"/>
  <c r="H8" i="4"/>
  <c r="F8" i="4"/>
  <c r="K7" i="4"/>
  <c r="H7" i="4"/>
  <c r="F7" i="4"/>
  <c r="K6" i="4"/>
  <c r="H6" i="4"/>
  <c r="F6" i="4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I123" i="4" l="1"/>
  <c r="J123" i="4" s="1"/>
  <c r="N123" i="4" s="1"/>
  <c r="O123" i="4"/>
  <c r="I44" i="4"/>
  <c r="O44" i="4"/>
  <c r="J44" i="4"/>
  <c r="O162" i="4"/>
  <c r="I162" i="4"/>
  <c r="J162" i="4" s="1"/>
  <c r="O161" i="4"/>
  <c r="I161" i="4"/>
  <c r="J161" i="4" s="1"/>
  <c r="N161" i="4" s="1"/>
  <c r="O160" i="4"/>
  <c r="I160" i="4"/>
  <c r="J160" i="4" s="1"/>
  <c r="N160" i="4" s="1"/>
  <c r="O159" i="4"/>
  <c r="I159" i="4"/>
  <c r="J159" i="4" s="1"/>
  <c r="N159" i="4" s="1"/>
  <c r="O158" i="4"/>
  <c r="I158" i="4"/>
  <c r="J158" i="4" s="1"/>
  <c r="N158" i="4" s="1"/>
  <c r="O157" i="4"/>
  <c r="I157" i="4"/>
  <c r="J157" i="4" s="1"/>
  <c r="N157" i="4" s="1"/>
  <c r="O156" i="4"/>
  <c r="I156" i="4"/>
  <c r="J156" i="4" s="1"/>
  <c r="N156" i="4" s="1"/>
  <c r="O155" i="4"/>
  <c r="I155" i="4"/>
  <c r="J155" i="4" s="1"/>
  <c r="N155" i="4" s="1"/>
  <c r="O154" i="4"/>
  <c r="I154" i="4"/>
  <c r="J154" i="4" s="1"/>
  <c r="N154" i="4" s="1"/>
  <c r="O153" i="4"/>
  <c r="I153" i="4"/>
  <c r="J153" i="4" s="1"/>
  <c r="N153" i="4" s="1"/>
  <c r="O152" i="4"/>
  <c r="I152" i="4"/>
  <c r="J152" i="4" s="1"/>
  <c r="O151" i="4"/>
  <c r="I151" i="4"/>
  <c r="J151" i="4" s="1"/>
  <c r="N151" i="4" s="1"/>
  <c r="O150" i="4"/>
  <c r="I150" i="4"/>
  <c r="J150" i="4" s="1"/>
  <c r="N150" i="4" s="1"/>
  <c r="O149" i="4"/>
  <c r="I149" i="4"/>
  <c r="J149" i="4" s="1"/>
  <c r="N149" i="4" s="1"/>
  <c r="O148" i="4"/>
  <c r="I148" i="4"/>
  <c r="J148" i="4" s="1"/>
  <c r="N148" i="4" s="1"/>
  <c r="O147" i="4"/>
  <c r="I147" i="4"/>
  <c r="J147" i="4" s="1"/>
  <c r="N147" i="4" s="1"/>
  <c r="O146" i="4"/>
  <c r="I146" i="4"/>
  <c r="J146" i="4" s="1"/>
  <c r="O145" i="4"/>
  <c r="I145" i="4"/>
  <c r="J145" i="4" s="1"/>
  <c r="N145" i="4" s="1"/>
  <c r="O144" i="4"/>
  <c r="I144" i="4"/>
  <c r="J144" i="4" s="1"/>
  <c r="N144" i="4" s="1"/>
  <c r="O143" i="4"/>
  <c r="I143" i="4"/>
  <c r="J143" i="4" s="1"/>
  <c r="N143" i="4" s="1"/>
  <c r="O142" i="4"/>
  <c r="I142" i="4"/>
  <c r="J142" i="4" s="1"/>
  <c r="N142" i="4" s="1"/>
  <c r="O141" i="4"/>
  <c r="I141" i="4"/>
  <c r="J141" i="4" s="1"/>
  <c r="N141" i="4" s="1"/>
  <c r="O140" i="4"/>
  <c r="I140" i="4"/>
  <c r="J140" i="4" s="1"/>
  <c r="O139" i="4"/>
  <c r="I139" i="4"/>
  <c r="J139" i="4" s="1"/>
  <c r="N139" i="4" s="1"/>
  <c r="O138" i="4"/>
  <c r="I138" i="4"/>
  <c r="J138" i="4" s="1"/>
  <c r="N138" i="4" s="1"/>
  <c r="O137" i="4"/>
  <c r="I137" i="4"/>
  <c r="J137" i="4" s="1"/>
  <c r="N137" i="4" s="1"/>
  <c r="O136" i="4"/>
  <c r="I136" i="4"/>
  <c r="J136" i="4" s="1"/>
  <c r="N136" i="4" s="1"/>
  <c r="O135" i="4"/>
  <c r="I135" i="4"/>
  <c r="J135" i="4" s="1"/>
  <c r="N135" i="4" s="1"/>
  <c r="O134" i="4"/>
  <c r="I134" i="4"/>
  <c r="J134" i="4" s="1"/>
  <c r="N134" i="4" s="1"/>
  <c r="O133" i="4"/>
  <c r="I133" i="4"/>
  <c r="J133" i="4" s="1"/>
  <c r="O132" i="4"/>
  <c r="I132" i="4"/>
  <c r="J132" i="4" s="1"/>
  <c r="O131" i="4"/>
  <c r="I131" i="4"/>
  <c r="J131" i="4" s="1"/>
  <c r="N131" i="4" s="1"/>
  <c r="O130" i="4"/>
  <c r="I130" i="4"/>
  <c r="J130" i="4" s="1"/>
  <c r="N130" i="4" s="1"/>
  <c r="O129" i="4"/>
  <c r="I129" i="4"/>
  <c r="J129" i="4" s="1"/>
  <c r="O128" i="4"/>
  <c r="I128" i="4"/>
  <c r="J128" i="4" s="1"/>
  <c r="N128" i="4" s="1"/>
  <c r="O127" i="4"/>
  <c r="I127" i="4"/>
  <c r="J127" i="4" s="1"/>
  <c r="O126" i="4"/>
  <c r="I126" i="4"/>
  <c r="J126" i="4" s="1"/>
  <c r="N126" i="4" s="1"/>
  <c r="O125" i="4"/>
  <c r="I125" i="4"/>
  <c r="J125" i="4" s="1"/>
  <c r="N125" i="4" s="1"/>
  <c r="I124" i="4"/>
  <c r="J124" i="4" s="1"/>
  <c r="N124" i="4" s="1"/>
  <c r="O124" i="4"/>
  <c r="O122" i="4"/>
  <c r="I122" i="4"/>
  <c r="J122" i="4" s="1"/>
  <c r="N122" i="4"/>
  <c r="O121" i="4"/>
  <c r="I121" i="4"/>
  <c r="J121" i="4" s="1"/>
  <c r="N121" i="4" s="1"/>
  <c r="O120" i="4"/>
  <c r="I120" i="4"/>
  <c r="J120" i="4" s="1"/>
  <c r="O119" i="4"/>
  <c r="I119" i="4"/>
  <c r="J119" i="4" s="1"/>
  <c r="N119" i="4" s="1"/>
  <c r="O118" i="4"/>
  <c r="I118" i="4"/>
  <c r="J118" i="4" s="1"/>
  <c r="N118" i="4" s="1"/>
  <c r="I117" i="4"/>
  <c r="J117" i="4" s="1"/>
  <c r="O117" i="4"/>
  <c r="N117" i="4"/>
  <c r="I116" i="4"/>
  <c r="J116" i="4" s="1"/>
  <c r="O116" i="4"/>
  <c r="O115" i="4"/>
  <c r="I115" i="4"/>
  <c r="J115" i="4" s="1"/>
  <c r="N115" i="4"/>
  <c r="I114" i="4"/>
  <c r="J114" i="4" s="1"/>
  <c r="N114" i="4"/>
  <c r="O114" i="4"/>
  <c r="O113" i="4"/>
  <c r="I113" i="4"/>
  <c r="J113" i="4" s="1"/>
  <c r="N113" i="4" s="1"/>
  <c r="I112" i="4"/>
  <c r="J112" i="4" s="1"/>
  <c r="N112" i="4"/>
  <c r="O112" i="4"/>
  <c r="I111" i="4"/>
  <c r="J111" i="4" s="1"/>
  <c r="N111" i="4"/>
  <c r="O111" i="4"/>
  <c r="I110" i="4"/>
  <c r="J110" i="4" s="1"/>
  <c r="N110" i="4"/>
  <c r="O110" i="4"/>
  <c r="O109" i="4"/>
  <c r="I109" i="4"/>
  <c r="J109" i="4" s="1"/>
  <c r="N109" i="4" s="1"/>
  <c r="O108" i="4"/>
  <c r="I108" i="4"/>
  <c r="J108" i="4" s="1"/>
  <c r="N108" i="4" s="1"/>
  <c r="O107" i="4"/>
  <c r="I107" i="4"/>
  <c r="J107" i="4" s="1"/>
  <c r="O106" i="4"/>
  <c r="I106" i="4"/>
  <c r="J106" i="4" s="1"/>
  <c r="N106" i="4" s="1"/>
  <c r="O105" i="4"/>
  <c r="I105" i="4"/>
  <c r="J105" i="4" s="1"/>
  <c r="N105" i="4" s="1"/>
  <c r="O104" i="4"/>
  <c r="I104" i="4"/>
  <c r="J104" i="4" s="1"/>
  <c r="N104" i="4" s="1"/>
  <c r="O103" i="4"/>
  <c r="I103" i="4"/>
  <c r="J103" i="4" s="1"/>
  <c r="N103" i="4" s="1"/>
  <c r="I102" i="4"/>
  <c r="J102" i="4" s="1"/>
  <c r="O102" i="4"/>
  <c r="N102" i="4"/>
  <c r="O101" i="4"/>
  <c r="I101" i="4"/>
  <c r="J101" i="4" s="1"/>
  <c r="N101" i="4" s="1"/>
  <c r="I100" i="4"/>
  <c r="J100" i="4" s="1"/>
  <c r="O100" i="4"/>
  <c r="O99" i="4"/>
  <c r="I99" i="4"/>
  <c r="J99" i="4" s="1"/>
  <c r="N99" i="4"/>
  <c r="O98" i="4"/>
  <c r="I98" i="4"/>
  <c r="J98" i="4" s="1"/>
  <c r="N98" i="4" s="1"/>
  <c r="I97" i="4"/>
  <c r="J97" i="4" s="1"/>
  <c r="N97" i="4"/>
  <c r="O97" i="4"/>
  <c r="I96" i="4"/>
  <c r="J96" i="4" s="1"/>
  <c r="N96" i="4"/>
  <c r="O96" i="4"/>
  <c r="I95" i="4"/>
  <c r="J95" i="4" s="1"/>
  <c r="N95" i="4"/>
  <c r="O95" i="4"/>
  <c r="I94" i="4"/>
  <c r="J94" i="4" s="1"/>
  <c r="N94" i="4" s="1"/>
  <c r="O94" i="4"/>
  <c r="O93" i="4"/>
  <c r="I93" i="4"/>
  <c r="J93" i="4" s="1"/>
  <c r="N93" i="4"/>
  <c r="I92" i="4"/>
  <c r="J92" i="4" s="1"/>
  <c r="N92" i="4" s="1"/>
  <c r="O92" i="4"/>
  <c r="I91" i="4"/>
  <c r="J91" i="4" s="1"/>
  <c r="O91" i="4"/>
  <c r="N91" i="4"/>
  <c r="I90" i="4"/>
  <c r="J90" i="4" s="1"/>
  <c r="N90" i="4"/>
  <c r="O90" i="4"/>
  <c r="I89" i="4"/>
  <c r="J89" i="4" s="1"/>
  <c r="L89" i="4" s="1"/>
  <c r="M89" i="4" s="1"/>
  <c r="N89" i="4" s="1"/>
  <c r="O89" i="4"/>
  <c r="I88" i="4"/>
  <c r="J88" i="4" s="1"/>
  <c r="O88" i="4"/>
  <c r="I87" i="4"/>
  <c r="J87" i="4" s="1"/>
  <c r="N87" i="4"/>
  <c r="O87" i="4"/>
  <c r="O86" i="4"/>
  <c r="I86" i="4"/>
  <c r="J86" i="4" s="1"/>
  <c r="N86" i="4" s="1"/>
  <c r="I85" i="4"/>
  <c r="J85" i="4" s="1"/>
  <c r="O85" i="4"/>
  <c r="I84" i="4"/>
  <c r="J84" i="4" s="1"/>
  <c r="N84" i="4" s="1"/>
  <c r="O84" i="4"/>
  <c r="I83" i="4"/>
  <c r="J83" i="4" s="1"/>
  <c r="N83" i="4" s="1"/>
  <c r="I82" i="4"/>
  <c r="J82" i="4" s="1"/>
  <c r="O82" i="4"/>
  <c r="I81" i="4"/>
  <c r="J81" i="4" s="1"/>
  <c r="N81" i="4"/>
  <c r="O81" i="4"/>
  <c r="O80" i="4"/>
  <c r="I80" i="4"/>
  <c r="J80" i="4" s="1"/>
  <c r="N80" i="4" s="1"/>
  <c r="O79" i="4"/>
  <c r="I79" i="4"/>
  <c r="J79" i="4" s="1"/>
  <c r="O78" i="4"/>
  <c r="I78" i="4"/>
  <c r="J78" i="4" s="1"/>
  <c r="N78" i="4" s="1"/>
  <c r="O77" i="4"/>
  <c r="I77" i="4"/>
  <c r="J77" i="4" s="1"/>
  <c r="N77" i="4"/>
  <c r="I76" i="4"/>
  <c r="J76" i="4" s="1"/>
  <c r="O76" i="4"/>
  <c r="I75" i="4"/>
  <c r="J75" i="4" s="1"/>
  <c r="N75" i="4"/>
  <c r="O75" i="4"/>
  <c r="I74" i="4"/>
  <c r="J74" i="4" s="1"/>
  <c r="N74" i="4"/>
  <c r="O74" i="4"/>
  <c r="I73" i="4"/>
  <c r="J73" i="4" s="1"/>
  <c r="N73" i="4"/>
  <c r="O73" i="4"/>
  <c r="O72" i="4"/>
  <c r="I72" i="4"/>
  <c r="J72" i="4" s="1"/>
  <c r="N72" i="4" s="1"/>
  <c r="O71" i="4"/>
  <c r="I71" i="4"/>
  <c r="J71" i="4" s="1"/>
  <c r="N71" i="4" s="1"/>
  <c r="O70" i="4"/>
  <c r="I70" i="4"/>
  <c r="J70" i="4" s="1"/>
  <c r="N70" i="4" s="1"/>
  <c r="O69" i="4"/>
  <c r="I69" i="4"/>
  <c r="J69" i="4" s="1"/>
  <c r="N69" i="4" s="1"/>
  <c r="O68" i="4"/>
  <c r="I68" i="4"/>
  <c r="J68" i="4" s="1"/>
  <c r="O67" i="4"/>
  <c r="I67" i="4"/>
  <c r="J67" i="4" s="1"/>
  <c r="N67" i="4" s="1"/>
  <c r="O66" i="4"/>
  <c r="I66" i="4"/>
  <c r="J66" i="4" s="1"/>
  <c r="N66" i="4" s="1"/>
  <c r="O65" i="4"/>
  <c r="I65" i="4"/>
  <c r="J65" i="4" s="1"/>
  <c r="N65" i="4" s="1"/>
  <c r="O64" i="4"/>
  <c r="I64" i="4"/>
  <c r="J64" i="4" s="1"/>
  <c r="N64" i="4" s="1"/>
  <c r="O63" i="4"/>
  <c r="I63" i="4"/>
  <c r="J63" i="4" s="1"/>
  <c r="N63" i="4" s="1"/>
  <c r="O62" i="4"/>
  <c r="I62" i="4"/>
  <c r="J62" i="4" s="1"/>
  <c r="N62" i="4" s="1"/>
  <c r="O61" i="4"/>
  <c r="I61" i="4"/>
  <c r="J61" i="4" s="1"/>
  <c r="N61" i="4" s="1"/>
  <c r="I60" i="4"/>
  <c r="J60" i="4" s="1"/>
  <c r="N60" i="4" s="1"/>
  <c r="O60" i="4"/>
  <c r="O59" i="4"/>
  <c r="I59" i="4"/>
  <c r="J59" i="4" s="1"/>
  <c r="N59" i="4" s="1"/>
  <c r="I58" i="4"/>
  <c r="J58" i="4" s="1"/>
  <c r="N58" i="4" s="1"/>
  <c r="O58" i="4"/>
  <c r="I57" i="4"/>
  <c r="J57" i="4" s="1"/>
  <c r="O57" i="4"/>
  <c r="I56" i="4"/>
  <c r="J56" i="4" s="1"/>
  <c r="N56" i="4" s="1"/>
  <c r="O56" i="4"/>
  <c r="O55" i="4"/>
  <c r="I55" i="4"/>
  <c r="J55" i="4" s="1"/>
  <c r="N55" i="4" s="1"/>
  <c r="O54" i="4"/>
  <c r="I54" i="4"/>
  <c r="J54" i="4" s="1"/>
  <c r="N54" i="4" s="1"/>
  <c r="I53" i="4"/>
  <c r="J53" i="4" s="1"/>
  <c r="N53" i="4" s="1"/>
  <c r="O53" i="4"/>
  <c r="O52" i="4"/>
  <c r="I52" i="4"/>
  <c r="J52" i="4" s="1"/>
  <c r="N52" i="4" s="1"/>
  <c r="I51" i="4"/>
  <c r="J51" i="4" s="1"/>
  <c r="N51" i="4" s="1"/>
  <c r="O51" i="4"/>
  <c r="O50" i="4"/>
  <c r="I50" i="4"/>
  <c r="J50" i="4" s="1"/>
  <c r="N50" i="4" s="1"/>
  <c r="I49" i="4"/>
  <c r="J49" i="4" s="1"/>
  <c r="O49" i="4"/>
  <c r="O48" i="4"/>
  <c r="I48" i="4"/>
  <c r="J48" i="4" s="1"/>
  <c r="N48" i="4" s="1"/>
  <c r="I47" i="4"/>
  <c r="J47" i="4" s="1"/>
  <c r="N47" i="4" s="1"/>
  <c r="O47" i="4"/>
  <c r="O46" i="4"/>
  <c r="I46" i="4"/>
  <c r="J46" i="4" s="1"/>
  <c r="N46" i="4" s="1"/>
  <c r="O45" i="4"/>
  <c r="I45" i="4"/>
  <c r="J45" i="4" s="1"/>
  <c r="O43" i="4"/>
  <c r="I43" i="4"/>
  <c r="J43" i="4" s="1"/>
  <c r="I42" i="4"/>
  <c r="J42" i="4" s="1"/>
  <c r="N42" i="4"/>
  <c r="O42" i="4"/>
  <c r="O41" i="4"/>
  <c r="I41" i="4"/>
  <c r="J41" i="4" s="1"/>
  <c r="N41" i="4" s="1"/>
  <c r="O40" i="4"/>
  <c r="I40" i="4"/>
  <c r="J40" i="4" s="1"/>
  <c r="N40" i="4" s="1"/>
  <c r="O39" i="4"/>
  <c r="I39" i="4"/>
  <c r="J39" i="4" s="1"/>
  <c r="N39" i="4" s="1"/>
  <c r="O38" i="4"/>
  <c r="I38" i="4"/>
  <c r="J38" i="4" s="1"/>
  <c r="N38" i="4" s="1"/>
  <c r="O37" i="4"/>
  <c r="I37" i="4"/>
  <c r="J37" i="4" s="1"/>
  <c r="N37" i="4" s="1"/>
  <c r="I36" i="4"/>
  <c r="J36" i="4" s="1"/>
  <c r="N36" i="4" s="1"/>
  <c r="O36" i="4"/>
  <c r="I35" i="4"/>
  <c r="J35" i="4" s="1"/>
  <c r="O35" i="4"/>
  <c r="I34" i="4"/>
  <c r="J34" i="4" s="1"/>
  <c r="N34" i="4" s="1"/>
  <c r="O34" i="4"/>
  <c r="O33" i="4"/>
  <c r="I33" i="4"/>
  <c r="J33" i="4" s="1"/>
  <c r="N33" i="4" s="1"/>
  <c r="I32" i="4"/>
  <c r="J32" i="4" s="1"/>
  <c r="N32" i="4" s="1"/>
  <c r="O32" i="4"/>
  <c r="I31" i="4"/>
  <c r="J31" i="4" s="1"/>
  <c r="N31" i="4" s="1"/>
  <c r="O31" i="4"/>
  <c r="O30" i="4"/>
  <c r="I30" i="4"/>
  <c r="J30" i="4" s="1"/>
  <c r="N30" i="4" s="1"/>
  <c r="O29" i="4"/>
  <c r="I29" i="4"/>
  <c r="J29" i="4" s="1"/>
  <c r="N29" i="4" s="1"/>
  <c r="O28" i="4"/>
  <c r="I28" i="4"/>
  <c r="J28" i="4" s="1"/>
  <c r="N28" i="4" s="1"/>
  <c r="O27" i="4"/>
  <c r="I27" i="4"/>
  <c r="J27" i="4" s="1"/>
  <c r="O26" i="4"/>
  <c r="I26" i="4"/>
  <c r="J26" i="4" s="1"/>
  <c r="N26" i="4" s="1"/>
  <c r="O25" i="4"/>
  <c r="I25" i="4"/>
  <c r="J25" i="4" s="1"/>
  <c r="N25" i="4" s="1"/>
  <c r="O24" i="4"/>
  <c r="I24" i="4"/>
  <c r="J24" i="4" s="1"/>
  <c r="N24" i="4" s="1"/>
  <c r="O23" i="4"/>
  <c r="I23" i="4"/>
  <c r="J23" i="4" s="1"/>
  <c r="N23" i="4" s="1"/>
  <c r="I22" i="4"/>
  <c r="J22" i="4" s="1"/>
  <c r="O22" i="4"/>
  <c r="O21" i="4"/>
  <c r="I21" i="4"/>
  <c r="J21" i="4" s="1"/>
  <c r="N21" i="4" s="1"/>
  <c r="O20" i="4"/>
  <c r="I20" i="4"/>
  <c r="J20" i="4" s="1"/>
  <c r="N20" i="4" s="1"/>
  <c r="O19" i="4"/>
  <c r="I19" i="4"/>
  <c r="J19" i="4" s="1"/>
  <c r="N19" i="4" s="1"/>
  <c r="I18" i="4"/>
  <c r="J18" i="4" s="1"/>
  <c r="N18" i="4"/>
  <c r="O18" i="4"/>
  <c r="O17" i="4"/>
  <c r="I17" i="4"/>
  <c r="J17" i="4" s="1"/>
  <c r="N17" i="4" s="1"/>
  <c r="I16" i="4"/>
  <c r="J16" i="4" s="1"/>
  <c r="O16" i="4"/>
  <c r="N16" i="4"/>
  <c r="I15" i="4"/>
  <c r="J15" i="4" s="1"/>
  <c r="N15" i="4" s="1"/>
  <c r="O15" i="4"/>
  <c r="O14" i="4"/>
  <c r="I14" i="4"/>
  <c r="J14" i="4" s="1"/>
  <c r="I13" i="4"/>
  <c r="J13" i="4" s="1"/>
  <c r="N13" i="4" s="1"/>
  <c r="O13" i="4"/>
  <c r="I12" i="4"/>
  <c r="J12" i="4" s="1"/>
  <c r="N12" i="4" s="1"/>
  <c r="O12" i="4"/>
  <c r="O11" i="4"/>
  <c r="I11" i="4"/>
  <c r="J11" i="4" s="1"/>
  <c r="N11" i="4" s="1"/>
  <c r="O10" i="4"/>
  <c r="I10" i="4"/>
  <c r="J10" i="4" s="1"/>
  <c r="N10" i="4" s="1"/>
  <c r="I9" i="4"/>
  <c r="J9" i="4" s="1"/>
  <c r="N9" i="4" s="1"/>
  <c r="O9" i="4"/>
  <c r="O8" i="4"/>
  <c r="I8" i="4"/>
  <c r="J8" i="4" s="1"/>
  <c r="N8" i="4" s="1"/>
  <c r="I7" i="4"/>
  <c r="J7" i="4" s="1"/>
  <c r="N7" i="4" s="1"/>
  <c r="O7" i="4"/>
  <c r="I6" i="4"/>
  <c r="J6" i="4" s="1"/>
  <c r="N6" i="4" s="1"/>
  <c r="O6" i="4"/>
  <c r="N44" i="4" l="1"/>
  <c r="L45" i="4"/>
  <c r="M45" i="4" s="1"/>
  <c r="L46" i="4"/>
  <c r="M46" i="4" s="1"/>
  <c r="L44" i="4"/>
  <c r="M44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N162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N152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N146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N140" i="4" s="1"/>
  <c r="L130" i="4"/>
  <c r="M130" i="4" s="1"/>
  <c r="L132" i="4"/>
  <c r="M132" i="4" s="1"/>
  <c r="N132" i="4" s="1"/>
  <c r="L131" i="4"/>
  <c r="M131" i="4" s="1"/>
  <c r="L128" i="4"/>
  <c r="M128" i="4" s="1"/>
  <c r="L129" i="4"/>
  <c r="M129" i="4" s="1"/>
  <c r="N129" i="4" s="1"/>
  <c r="L121" i="4"/>
  <c r="M121" i="4" s="1"/>
  <c r="L122" i="4"/>
  <c r="M122" i="4" s="1"/>
  <c r="L125" i="4"/>
  <c r="M125" i="4" s="1"/>
  <c r="L127" i="4"/>
  <c r="M127" i="4" s="1"/>
  <c r="N127" i="4" s="1"/>
  <c r="L123" i="4"/>
  <c r="M123" i="4" s="1"/>
  <c r="L124" i="4"/>
  <c r="M124" i="4" s="1"/>
  <c r="L126" i="4"/>
  <c r="M126" i="4" s="1"/>
  <c r="L117" i="4"/>
  <c r="M117" i="4" s="1"/>
  <c r="L118" i="4"/>
  <c r="M118" i="4" s="1"/>
  <c r="L119" i="4"/>
  <c r="M119" i="4" s="1"/>
  <c r="L120" i="4"/>
  <c r="M120" i="4" s="1"/>
  <c r="N120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N116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N107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N100" i="4" s="1"/>
  <c r="L86" i="4"/>
  <c r="M86" i="4" s="1"/>
  <c r="L87" i="4"/>
  <c r="M87" i="4" s="1"/>
  <c r="L88" i="4"/>
  <c r="M88" i="4" s="1"/>
  <c r="N88" i="4" s="1"/>
  <c r="L83" i="4"/>
  <c r="M83" i="4" s="1"/>
  <c r="L84" i="4"/>
  <c r="M84" i="4" s="1"/>
  <c r="L85" i="4"/>
  <c r="M85" i="4" s="1"/>
  <c r="N85" i="4" s="1"/>
  <c r="L80" i="4"/>
  <c r="M80" i="4" s="1"/>
  <c r="L81" i="4"/>
  <c r="M81" i="4" s="1"/>
  <c r="L82" i="4"/>
  <c r="M82" i="4" s="1"/>
  <c r="N82" i="4" s="1"/>
  <c r="L77" i="4"/>
  <c r="M77" i="4" s="1"/>
  <c r="L78" i="4"/>
  <c r="M78" i="4" s="1"/>
  <c r="L79" i="4"/>
  <c r="M79" i="4" s="1"/>
  <c r="N79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N76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N68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N57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N43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N35" i="4" s="1"/>
  <c r="L23" i="4"/>
  <c r="M23" i="4" s="1"/>
  <c r="L24" i="4"/>
  <c r="M24" i="4" s="1"/>
  <c r="L25" i="4"/>
  <c r="M25" i="4" s="1"/>
  <c r="L26" i="4"/>
  <c r="M26" i="4" s="1"/>
  <c r="L27" i="4"/>
  <c r="M27" i="4" s="1"/>
  <c r="N27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N22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N14" i="4" s="1"/>
  <c r="L133" i="4"/>
  <c r="M133" i="4" s="1"/>
  <c r="N133" i="4" s="1"/>
  <c r="N45" i="4"/>
  <c r="L47" i="4"/>
  <c r="M47" i="4" s="1"/>
  <c r="L48" i="4"/>
  <c r="M48" i="4" s="1"/>
  <c r="L49" i="4"/>
  <c r="M49" i="4" s="1"/>
  <c r="N49" i="4" s="1"/>
</calcChain>
</file>

<file path=xl/sharedStrings.xml><?xml version="1.0" encoding="utf-8"?>
<sst xmlns="http://schemas.openxmlformats.org/spreadsheetml/2006/main" count="687" uniqueCount="132">
  <si>
    <t>Isi workbook:</t>
  </si>
  <si>
    <t>Tabel tarif fixed per kelas event (Lantai, PM, VJ, Pot Produksi, Total) — EDIT DI SINI kalau ada perubahan angka/kelas.</t>
  </si>
  <si>
    <t>2. Pembagian_Pot_PM</t>
  </si>
  <si>
    <t>Pembagian Pot PM (Lead/Support) berdasarkan jumlah PM yang terlibat — terpisah total dari Pot Produksi.</t>
  </si>
  <si>
    <t>3. Simulasi_Rekap_Produksi</t>
  </si>
  <si>
    <t>Contoh nyata pakai data Juli 2026 (26 event, 158 baris) — hitung otomatis nominal per anak dari poin &amp; kelas event.</t>
  </si>
  <si>
    <t>Konsep Perhitungan:</t>
  </si>
  <si>
    <t>•</t>
  </si>
  <si>
    <t>Pot Produksi itu FIXED per kelas event (bukan dihitung dari poin x rate) — jadi total biaya produksi 1 event TIDAK PERNAH melebihi pot kelasnya.</t>
  </si>
  <si>
    <t>Nominal per Anak = (Poin Anak Itu / Total Poin Semua Anak di Event Itu) x Pot Produksi Kelas Itu.</t>
  </si>
  <si>
    <t>Pot PM (Lead/Support) dihitung TERPISAH dari Pot Produksi, berdasarkan tabel Pembagian Pot PM (fixed sesuai jumlah PM, tidak terkait poin).</t>
  </si>
  <si>
    <t>Pembulatan: baris dengan poin terakhir di tiap event otomatis menyerap selisih pembulatan, supaya total per event selalu PAS dengan Pot Produksi (tidak lebih/kurang karena pembulatan desimal).</t>
  </si>
  <si>
    <t>Event dengan Total Poin = 0 (belum ada satupun poin tercatat) ditandai 'PERLU KEPUTUSAN MANUAL' — nominal tidak otomatis dibagi karena tidak ada dasar kontribusi.</t>
  </si>
  <si>
    <t>Catatan:</t>
  </si>
  <si>
    <t>Kolom 'Kelas Event' di sheet Simulasi_Rekap_Produksi masih CONTOH/PLACEHOLDER (belum sesuai kelas asli tiap event) — silakan edit sesuai kelas yang benar, nominal akan otomatis re-kalkulasi.</t>
  </si>
  <si>
    <t>Semua angka di Tarif_Plan_E &amp; Pembagian_Pot_PM juga masih mengikuti draft yang dikirim — silakan diedit langsung kalau ada revisi dari direksi.</t>
  </si>
  <si>
    <t>Tarif Plan E per Event</t>
  </si>
  <si>
    <t>Kelas</t>
  </si>
  <si>
    <t>Lantai</t>
  </si>
  <si>
    <t>Turun Kelas di Bawah</t>
  </si>
  <si>
    <t>PM</t>
  </si>
  <si>
    <t>VJ</t>
  </si>
  <si>
    <t>Pot Produksi</t>
  </si>
  <si>
    <t>Total</t>
  </si>
  <si>
    <t>% Lantai</t>
  </si>
  <si>
    <t>S · 1 PM</t>
  </si>
  <si>
    <t>S · 2 PM</t>
  </si>
  <si>
    <t>S · 3 PM</t>
  </si>
  <si>
    <t>A</t>
  </si>
  <si>
    <t>B</t>
  </si>
  <si>
    <t>C</t>
  </si>
  <si>
    <t>- kelas dasar</t>
  </si>
  <si>
    <t>Catatan: 'Turun Kelas di Bawah' = nominal Lantai kalau event ini diturunkan 1 tingkat kelas (referensi negosiasi, tidak dipakai dalam kalkulasi pot produksi).</t>
  </si>
  <si>
    <t>Pembagian Pot PM</t>
  </si>
  <si>
    <t>Terpisah total dari Pot Produksi — fixed sesuai jumlah PM, tidak terkait poin produksi</t>
  </si>
  <si>
    <t>Konfigurasi</t>
  </si>
  <si>
    <t>Split</t>
  </si>
  <si>
    <t>Lead</t>
  </si>
  <si>
    <t>Support 1</t>
  </si>
  <si>
    <t>Support 2</t>
  </si>
  <si>
    <t>1 PM (solo)</t>
  </si>
  <si>
    <t>100</t>
  </si>
  <si>
    <t>2 PM</t>
  </si>
  <si>
    <t>70/30</t>
  </si>
  <si>
    <t>3 PM</t>
  </si>
  <si>
    <t>50/25/25</t>
  </si>
  <si>
    <t>Simulasi Rekap Produksi — Data Juli 2026 (26 event, 158 baris)</t>
  </si>
  <si>
    <t>Nama Event</t>
  </si>
  <si>
    <t>Nama Karyawan</t>
  </si>
  <si>
    <t>Jabatan</t>
  </si>
  <si>
    <t>Poin</t>
  </si>
  <si>
    <t>Total Poin Event</t>
  </si>
  <si>
    <t>Kelas Event</t>
  </si>
  <si>
    <t>Pot Produksi (Kelas)</t>
  </si>
  <si>
    <t>% Kontribusi</t>
  </si>
  <si>
    <t>Nominal Dasar</t>
  </si>
  <si>
    <t>Baris Terakhir?</t>
  </si>
  <si>
    <t>Total Nominal Dasar (Event)</t>
  </si>
  <si>
    <t>Selisih Pembulatan</t>
  </si>
  <si>
    <t>Nominal Final</t>
  </si>
  <si>
    <t>Status</t>
  </si>
  <si>
    <t>The Wedding of Hariyanto &amp; Ananda Priscilla</t>
  </si>
  <si>
    <t>Ariya Putra Sundava</t>
  </si>
  <si>
    <t>Jumpback</t>
  </si>
  <si>
    <t>Giantoro Susilo</t>
  </si>
  <si>
    <t>Asset</t>
  </si>
  <si>
    <t>Muhammad Kanza Eka Ghifari</t>
  </si>
  <si>
    <t>Compose</t>
  </si>
  <si>
    <t xml:space="preserve">Ardian Firmansyah </t>
  </si>
  <si>
    <t>Arif Cendekiawan</t>
  </si>
  <si>
    <t>Generalist (All in One)</t>
  </si>
  <si>
    <t>Hafid Asari</t>
  </si>
  <si>
    <t>Animator</t>
  </si>
  <si>
    <t>Nur Laily Ida Yagshya</t>
  </si>
  <si>
    <t>Ridwan Gavyn Ramadhan</t>
  </si>
  <si>
    <t>Engagement of Keelie &amp; Gamma</t>
  </si>
  <si>
    <t>Nehemia Lantis Jojo Winarjati</t>
  </si>
  <si>
    <t>Yoga Pratama Abdi Margo</t>
  </si>
  <si>
    <t>David Firdaus</t>
  </si>
  <si>
    <t>Danny Dwi Prasetya</t>
  </si>
  <si>
    <t>Aurellyn Briza</t>
  </si>
  <si>
    <t>Sucha Aji Nugroho</t>
  </si>
  <si>
    <t>Rani Claudia Bitjoli</t>
  </si>
  <si>
    <t>Engagement of Lingga Sugianto &amp; Budi Saputra Oetama</t>
  </si>
  <si>
    <t>Vicky Apriyana Firdaus</t>
  </si>
  <si>
    <t>Josephine's 17th Birthday</t>
  </si>
  <si>
    <t>Hutomo Putra Winata</t>
  </si>
  <si>
    <t>The Wedding of Calvin &amp; Vivi</t>
  </si>
  <si>
    <t>Birthday 17th Brenda</t>
  </si>
  <si>
    <t>Wedding of Moses &amp; Esther</t>
  </si>
  <si>
    <t>Eza Muhammad Shofi</t>
  </si>
  <si>
    <t>Muhammad Rizky Al Reza Syamsa Putra</t>
  </si>
  <si>
    <t>Ervin Febrianto</t>
  </si>
  <si>
    <t>Rahmad Firdaus</t>
  </si>
  <si>
    <t>Kayren Lie Sasongko 17th Birthday</t>
  </si>
  <si>
    <t>Riyadus Solihin</t>
  </si>
  <si>
    <t>Yumna Syarifah</t>
  </si>
  <si>
    <t>Muhammad Zainul Ma'arif</t>
  </si>
  <si>
    <t>Devin &amp; Michelle</t>
  </si>
  <si>
    <t>David &amp; Celine</t>
  </si>
  <si>
    <t>Fuad Ashari</t>
  </si>
  <si>
    <t>Indra Setya Himawan</t>
  </si>
  <si>
    <t>Fajar Ramadhan</t>
  </si>
  <si>
    <t>Ms. Sukma Birthday</t>
  </si>
  <si>
    <t>Fahrul Hidayat</t>
  </si>
  <si>
    <t>Caroline Birthday</t>
  </si>
  <si>
    <t xml:space="preserve">Kate 2nd Birthday			</t>
  </si>
  <si>
    <t>Pena Saya - St Yakobus</t>
  </si>
  <si>
    <t>Gilang Rizky Al Mizan</t>
  </si>
  <si>
    <t>Animator - Production</t>
  </si>
  <si>
    <t>Reuni sekolah SMAK Santo Paulus Jember</t>
  </si>
  <si>
    <t>Modeller</t>
  </si>
  <si>
    <t>Compositor</t>
  </si>
  <si>
    <t>Generalist</t>
  </si>
  <si>
    <t>Ilyasa Octavianto</t>
  </si>
  <si>
    <t>Visual Jockey</t>
  </si>
  <si>
    <t>Wedding of Mr. Steven &amp; Ms. Rossa</t>
  </si>
  <si>
    <t>Vinsen dan Tania</t>
  </si>
  <si>
    <t>Lead Visual Jockey</t>
  </si>
  <si>
    <t>Jefry &amp; Cornelia</t>
  </si>
  <si>
    <t>Top Agent Awards AAJI</t>
  </si>
  <si>
    <t>Ilustrator</t>
  </si>
  <si>
    <t>Pameran Grand City</t>
  </si>
  <si>
    <t>Wedding of Billy &amp; Steffiani</t>
  </si>
  <si>
    <t>Pameran Semarang</t>
  </si>
  <si>
    <t>The Wedding of Excel &amp; Jevinna</t>
  </si>
  <si>
    <t>The Prince Jewelry Exhibition</t>
  </si>
  <si>
    <t>Cathrine's 5 Birthday</t>
  </si>
  <si>
    <t>Pameran Imperial</t>
  </si>
  <si>
    <t>Simulasi Baseline Pot Produksi Fixed per Kelas Event</t>
  </si>
  <si>
    <t>1. Tarif_Plan</t>
  </si>
  <si>
    <t>Catatan: PM (2.500.000 / 1.750.000+750.000 / dst di tabel Tarif_Plan kolom 'PM') adalah total pot PM per event; tabel ini cuma acuan Lead vs Support-nya berapa masing-masing.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</si>
</sst>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11"/>
      <color rgb="FF88888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10" fontId="7" fillId="0" borderId="1" xfId="0" applyNumberFormat="1" applyFont="1" applyBorder="1"/>
    <xf numFmtId="0" fontId="0" fillId="0" borderId="1" xfId="0" applyBorder="1"/>
    <xf numFmtId="0" fontId="8" fillId="0" borderId="1" xfId="0" applyFont="1" applyBorder="1"/>
    <xf numFmtId="0" fontId="4" fillId="0" borderId="1" xfId="0" applyFont="1" applyBorder="1"/>
    <xf numFmtId="165" fontId="7" fillId="0" borderId="1" xfId="0" applyNumberFormat="1" applyFont="1" applyBorder="1"/>
    <xf numFmtId="0" fontId="7" fillId="0" borderId="1" xfId="0" applyFont="1" applyBorder="1"/>
    <xf numFmtId="0" fontId="0" fillId="0" borderId="0" xfId="0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topLeftCell="A5" zoomScaleNormal="100" workbookViewId="0">
      <selection activeCell="B6" sqref="B6"/>
    </sheetView>
  </sheetViews>
  <sheetFormatPr defaultColWidth="8.6640625" defaultRowHeight="14.4" x14ac:dyDescent="0.3"/>
  <cols>
    <col min="1" max="1" width="3" customWidth="1"/>
    <col min="2" max="2" width="24" customWidth="1"/>
    <col min="3" max="3" width="95" customWidth="1"/>
  </cols>
  <sheetData>
    <row r="2" spans="2:3" ht="17.25" customHeight="1" x14ac:dyDescent="0.3">
      <c r="B2" s="2" t="s">
        <v>129</v>
      </c>
    </row>
    <row r="4" spans="2:3" ht="15" customHeight="1" x14ac:dyDescent="0.3">
      <c r="B4" s="4" t="s">
        <v>0</v>
      </c>
    </row>
    <row r="5" spans="2:3" ht="30" customHeight="1" x14ac:dyDescent="0.3">
      <c r="B5" s="4" t="s">
        <v>130</v>
      </c>
      <c r="C5" s="5" t="s">
        <v>1</v>
      </c>
    </row>
    <row r="6" spans="2:3" ht="30" customHeight="1" x14ac:dyDescent="0.3">
      <c r="B6" s="4" t="s">
        <v>2</v>
      </c>
      <c r="C6" s="5" t="s">
        <v>3</v>
      </c>
    </row>
    <row r="7" spans="2:3" ht="30" customHeight="1" x14ac:dyDescent="0.3">
      <c r="B7" s="4" t="s">
        <v>4</v>
      </c>
      <c r="C7" s="5" t="s">
        <v>5</v>
      </c>
    </row>
    <row r="9" spans="2:3" ht="15" customHeight="1" x14ac:dyDescent="0.3">
      <c r="B9" s="4" t="s">
        <v>6</v>
      </c>
    </row>
    <row r="10" spans="2:3" ht="30" customHeight="1" x14ac:dyDescent="0.3">
      <c r="B10" s="6" t="s">
        <v>7</v>
      </c>
      <c r="C10" s="5" t="s">
        <v>8</v>
      </c>
    </row>
    <row r="11" spans="2:3" ht="30" customHeight="1" x14ac:dyDescent="0.3">
      <c r="B11" s="6" t="s">
        <v>7</v>
      </c>
      <c r="C11" s="5" t="s">
        <v>9</v>
      </c>
    </row>
    <row r="12" spans="2:3" ht="30" customHeight="1" x14ac:dyDescent="0.3">
      <c r="B12" s="6" t="s">
        <v>7</v>
      </c>
      <c r="C12" s="5" t="s">
        <v>10</v>
      </c>
    </row>
    <row r="13" spans="2:3" ht="30" customHeight="1" x14ac:dyDescent="0.3">
      <c r="B13" s="6" t="s">
        <v>7</v>
      </c>
      <c r="C13" s="5" t="s">
        <v>11</v>
      </c>
    </row>
    <row r="14" spans="2:3" ht="30" customHeight="1" x14ac:dyDescent="0.3">
      <c r="B14" s="6" t="s">
        <v>7</v>
      </c>
      <c r="C14" s="5" t="s">
        <v>12</v>
      </c>
    </row>
    <row r="16" spans="2:3" ht="15" customHeight="1" x14ac:dyDescent="0.3">
      <c r="B16" s="4" t="s">
        <v>13</v>
      </c>
    </row>
    <row r="17" spans="2:3" ht="30" customHeight="1" x14ac:dyDescent="0.3">
      <c r="B17" s="6" t="s">
        <v>7</v>
      </c>
      <c r="C17" s="5" t="s">
        <v>14</v>
      </c>
    </row>
    <row r="18" spans="2:3" ht="30" customHeight="1" x14ac:dyDescent="0.3">
      <c r="B18" s="6" t="s">
        <v>7</v>
      </c>
      <c r="C18" s="5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3"/>
  <sheetViews>
    <sheetView zoomScaleNormal="100" workbookViewId="0">
      <selection activeCell="K6" sqref="K6"/>
    </sheetView>
  </sheetViews>
  <sheetFormatPr defaultColWidth="8.6640625" defaultRowHeight="14.4" x14ac:dyDescent="0.3"/>
  <cols>
    <col min="2" max="2" width="12" customWidth="1"/>
    <col min="3" max="3" width="16" customWidth="1"/>
    <col min="4" max="4" width="20" customWidth="1"/>
    <col min="5" max="5" width="14" customWidth="1"/>
    <col min="6" max="6" width="12" customWidth="1"/>
    <col min="7" max="8" width="15" customWidth="1"/>
    <col min="9" max="9" width="11" customWidth="1"/>
  </cols>
  <sheetData>
    <row r="2" spans="2:9" ht="17.25" customHeight="1" x14ac:dyDescent="0.3">
      <c r="B2" s="2" t="s">
        <v>16</v>
      </c>
    </row>
    <row r="4" spans="2:9" ht="26.25" customHeight="1" x14ac:dyDescent="0.3"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</row>
    <row r="5" spans="2:9" ht="15" customHeight="1" x14ac:dyDescent="0.3">
      <c r="B5" s="8" t="s">
        <v>25</v>
      </c>
      <c r="C5" s="9">
        <v>75000000</v>
      </c>
      <c r="D5" s="9">
        <v>67500000</v>
      </c>
      <c r="E5" s="9">
        <v>2500000</v>
      </c>
      <c r="F5" s="9">
        <v>350000</v>
      </c>
      <c r="G5" s="9">
        <v>3500000</v>
      </c>
      <c r="H5" s="10">
        <f t="shared" ref="H5:H10" si="0">E5+F5+G5</f>
        <v>6350000</v>
      </c>
      <c r="I5" s="11">
        <f>H5/C5</f>
        <v>8.4666666666666668E-2</v>
      </c>
    </row>
    <row r="6" spans="2:9" ht="15" customHeight="1" x14ac:dyDescent="0.3">
      <c r="B6" s="8" t="s">
        <v>26</v>
      </c>
      <c r="C6" s="12"/>
      <c r="D6" s="12"/>
      <c r="E6" s="9">
        <v>2500000</v>
      </c>
      <c r="F6" s="9">
        <v>350000</v>
      </c>
      <c r="G6" s="9">
        <v>4000000</v>
      </c>
      <c r="H6" s="10">
        <f t="shared" si="0"/>
        <v>6850000</v>
      </c>
      <c r="I6" s="11">
        <f>H6/C$5</f>
        <v>9.1333333333333336E-2</v>
      </c>
    </row>
    <row r="7" spans="2:9" ht="15" customHeight="1" x14ac:dyDescent="0.3">
      <c r="B7" s="8" t="s">
        <v>27</v>
      </c>
      <c r="C7" s="12"/>
      <c r="D7" s="12"/>
      <c r="E7" s="9">
        <v>3000000</v>
      </c>
      <c r="F7" s="9">
        <v>350000</v>
      </c>
      <c r="G7" s="9">
        <v>4500000</v>
      </c>
      <c r="H7" s="10">
        <f t="shared" si="0"/>
        <v>7850000</v>
      </c>
      <c r="I7" s="11">
        <f>H7/C$5</f>
        <v>0.10466666666666667</v>
      </c>
    </row>
    <row r="8" spans="2:9" ht="15" customHeight="1" x14ac:dyDescent="0.3">
      <c r="B8" s="8" t="s">
        <v>28</v>
      </c>
      <c r="C8" s="9">
        <v>40000000</v>
      </c>
      <c r="D8" s="9">
        <v>36000000</v>
      </c>
      <c r="E8" s="9">
        <v>1250000</v>
      </c>
      <c r="F8" s="9">
        <v>200000</v>
      </c>
      <c r="G8" s="9">
        <v>2000000</v>
      </c>
      <c r="H8" s="10">
        <f t="shared" si="0"/>
        <v>3450000</v>
      </c>
      <c r="I8" s="11">
        <f>H8/C8</f>
        <v>8.6249999999999993E-2</v>
      </c>
    </row>
    <row r="9" spans="2:9" ht="15" customHeight="1" x14ac:dyDescent="0.3">
      <c r="B9" s="8" t="s">
        <v>29</v>
      </c>
      <c r="C9" s="9">
        <v>25000000</v>
      </c>
      <c r="D9" s="9">
        <v>22500000</v>
      </c>
      <c r="E9" s="9">
        <v>1000000</v>
      </c>
      <c r="F9" s="9">
        <v>125000</v>
      </c>
      <c r="G9" s="9">
        <v>1000000</v>
      </c>
      <c r="H9" s="10">
        <f t="shared" si="0"/>
        <v>2125000</v>
      </c>
      <c r="I9" s="11">
        <f>H9/C9</f>
        <v>8.5000000000000006E-2</v>
      </c>
    </row>
    <row r="10" spans="2:9" ht="15" customHeight="1" x14ac:dyDescent="0.3">
      <c r="B10" s="8" t="s">
        <v>30</v>
      </c>
      <c r="C10" s="9">
        <v>15000000</v>
      </c>
      <c r="D10" s="13" t="s">
        <v>31</v>
      </c>
      <c r="E10" s="9">
        <v>250000</v>
      </c>
      <c r="F10" s="9">
        <v>100000</v>
      </c>
      <c r="G10" s="9">
        <v>500000</v>
      </c>
      <c r="H10" s="10">
        <f t="shared" si="0"/>
        <v>850000</v>
      </c>
      <c r="I10" s="11">
        <f>H10/C10</f>
        <v>5.6666666666666664E-2</v>
      </c>
    </row>
    <row r="13" spans="2:9" ht="23.25" customHeight="1" x14ac:dyDescent="0.3">
      <c r="B13" s="1" t="s">
        <v>32</v>
      </c>
      <c r="C13" s="1"/>
      <c r="D13" s="1"/>
      <c r="E13" s="1"/>
      <c r="F13" s="1"/>
      <c r="G13" s="1"/>
      <c r="H13" s="1"/>
      <c r="I13" s="1"/>
    </row>
  </sheetData>
  <mergeCells count="1">
    <mergeCell ref="B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1"/>
  <sheetViews>
    <sheetView zoomScaleNormal="100" workbookViewId="0">
      <selection activeCell="B12" sqref="B12"/>
    </sheetView>
  </sheetViews>
  <sheetFormatPr defaultColWidth="8.6640625" defaultRowHeight="14.4" x14ac:dyDescent="0.3"/>
  <cols>
    <col min="2" max="2" width="14" customWidth="1"/>
    <col min="3" max="3" width="12" customWidth="1"/>
    <col min="4" max="6" width="14" customWidth="1"/>
  </cols>
  <sheetData>
    <row r="2" spans="2:6" ht="17.25" customHeight="1" x14ac:dyDescent="0.3">
      <c r="B2" s="2" t="s">
        <v>33</v>
      </c>
    </row>
    <row r="3" spans="2:6" ht="15" customHeight="1" x14ac:dyDescent="0.3">
      <c r="B3" s="3" t="s">
        <v>34</v>
      </c>
    </row>
    <row r="5" spans="2:6" ht="15" customHeight="1" x14ac:dyDescent="0.3"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</row>
    <row r="6" spans="2:6" ht="15" customHeight="1" x14ac:dyDescent="0.3">
      <c r="B6" s="8" t="s">
        <v>40</v>
      </c>
      <c r="C6" s="8" t="s">
        <v>41</v>
      </c>
      <c r="D6" s="9">
        <v>2500000</v>
      </c>
      <c r="E6" s="12"/>
      <c r="F6" s="12"/>
    </row>
    <row r="7" spans="2:6" ht="15" customHeight="1" x14ac:dyDescent="0.3">
      <c r="B7" s="8" t="s">
        <v>42</v>
      </c>
      <c r="C7" s="8" t="s">
        <v>43</v>
      </c>
      <c r="D7" s="9">
        <v>1750000</v>
      </c>
      <c r="E7" s="9">
        <v>750000</v>
      </c>
      <c r="F7" s="12"/>
    </row>
    <row r="8" spans="2:6" ht="15" customHeight="1" x14ac:dyDescent="0.3">
      <c r="B8" s="8" t="s">
        <v>44</v>
      </c>
      <c r="C8" s="8" t="s">
        <v>45</v>
      </c>
      <c r="D8" s="9">
        <v>1500000</v>
      </c>
      <c r="E8" s="9">
        <v>750000</v>
      </c>
      <c r="F8" s="9">
        <v>750000</v>
      </c>
    </row>
    <row r="11" spans="2:6" ht="41.4" customHeight="1" x14ac:dyDescent="0.3">
      <c r="B11" s="1" t="s">
        <v>131</v>
      </c>
      <c r="C11" s="1"/>
      <c r="D11" s="1"/>
      <c r="E11" s="1"/>
      <c r="F11" s="1"/>
    </row>
  </sheetData>
  <mergeCells count="1">
    <mergeCell ref="B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62"/>
  <sheetViews>
    <sheetView tabSelected="1" zoomScale="85" zoomScaleNormal="85" workbookViewId="0">
      <pane xSplit="1" ySplit="5" topLeftCell="B84" activePane="bottomRight" state="frozen"/>
      <selection pane="topRight" activeCell="B1" sqref="B1"/>
      <selection pane="bottomLeft" activeCell="A7" sqref="A7"/>
      <selection pane="bottomRight" activeCell="D86" sqref="D86"/>
    </sheetView>
  </sheetViews>
  <sheetFormatPr defaultColWidth="8.6640625" defaultRowHeight="14.4" x14ac:dyDescent="0.3"/>
  <cols>
    <col min="2" max="2" width="30" customWidth="1"/>
    <col min="3" max="3" width="26" customWidth="1"/>
    <col min="4" max="4" width="20" customWidth="1"/>
    <col min="5" max="5" width="7" style="17" customWidth="1"/>
    <col min="6" max="6" width="13" style="17" customWidth="1"/>
    <col min="7" max="7" width="10" style="17" customWidth="1"/>
    <col min="8" max="8" width="14" customWidth="1"/>
    <col min="9" max="9" width="11" customWidth="1"/>
    <col min="10" max="10" width="12" customWidth="1"/>
    <col min="11" max="11" width="10" customWidth="1"/>
    <col min="12" max="12" width="16" customWidth="1"/>
    <col min="13" max="14" width="13" customWidth="1"/>
    <col min="15" max="15" width="22" customWidth="1"/>
  </cols>
  <sheetData>
    <row r="2" spans="2:15" ht="17.399999999999999" x14ac:dyDescent="0.3">
      <c r="B2" s="2" t="s">
        <v>46</v>
      </c>
    </row>
    <row r="5" spans="2:15" ht="41.4" x14ac:dyDescent="0.3"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53</v>
      </c>
      <c r="I5" s="7" t="s">
        <v>54</v>
      </c>
      <c r="J5" s="7" t="s">
        <v>55</v>
      </c>
      <c r="K5" s="7" t="s">
        <v>56</v>
      </c>
      <c r="L5" s="7" t="s">
        <v>57</v>
      </c>
      <c r="M5" s="7" t="s">
        <v>58</v>
      </c>
      <c r="N5" s="7" t="s">
        <v>59</v>
      </c>
      <c r="O5" s="7" t="s">
        <v>60</v>
      </c>
    </row>
    <row r="6" spans="2:15" x14ac:dyDescent="0.3">
      <c r="B6" s="14" t="s">
        <v>61</v>
      </c>
      <c r="C6" s="14" t="s">
        <v>62</v>
      </c>
      <c r="D6" s="14" t="s">
        <v>63</v>
      </c>
      <c r="E6" s="19">
        <v>0</v>
      </c>
      <c r="F6" s="18">
        <f t="shared" ref="F6:F37" si="0">SUMIF($B$6:$B$162,B6,$E$6:$E$162)</f>
        <v>30</v>
      </c>
      <c r="G6" s="20" t="s">
        <v>29</v>
      </c>
      <c r="H6" s="10">
        <f>IFERROR(VLOOKUP(G6,Tarif_Plan!$B$5:$G$10,6,FALSE()),"Kelas tdk ditemukan")</f>
        <v>1000000</v>
      </c>
      <c r="I6" s="15">
        <f t="shared" ref="I6:I37" si="1">IF(F6=0,0,E6/F6)</f>
        <v>0</v>
      </c>
      <c r="J6" s="10">
        <f t="shared" ref="J6:J37" si="2">ROUND(I6*H6,0)</f>
        <v>0</v>
      </c>
      <c r="K6" s="16">
        <f>IF(COUNTIF($B$6:B6,B6)=COUNTIF($B$6:$B$162,B6),1,0)</f>
        <v>0</v>
      </c>
      <c r="L6" s="10">
        <f t="shared" ref="L6:L37" si="3">SUMIF($B$6:$B$162,B6,$J$6:$J$162)</f>
        <v>1000000</v>
      </c>
      <c r="M6" s="10">
        <f t="shared" ref="M6:M37" si="4">H6-L6</f>
        <v>0</v>
      </c>
      <c r="N6" s="10">
        <f t="shared" ref="N6:N37" si="5">IF(F6=0,0,J6+IF(K6=1,M6,0))</f>
        <v>0</v>
      </c>
      <c r="O6" s="16" t="str">
        <f t="shared" ref="O6:O37" si="6">IF(F6=0,"POIN 0 - PERLU KEPUTUSAN MANUAL","OK")</f>
        <v>OK</v>
      </c>
    </row>
    <row r="7" spans="2:15" x14ac:dyDescent="0.3">
      <c r="B7" s="14" t="s">
        <v>61</v>
      </c>
      <c r="C7" s="14" t="s">
        <v>64</v>
      </c>
      <c r="D7" s="14" t="s">
        <v>65</v>
      </c>
      <c r="E7" s="19">
        <v>1</v>
      </c>
      <c r="F7" s="18">
        <f t="shared" si="0"/>
        <v>30</v>
      </c>
      <c r="G7" s="20" t="s">
        <v>29</v>
      </c>
      <c r="H7" s="10">
        <f>IFERROR(VLOOKUP(G7,Tarif_Plan!$B$5:$G$10,6,FALSE()),"Kelas tdk ditemukan")</f>
        <v>1000000</v>
      </c>
      <c r="I7" s="15">
        <f t="shared" si="1"/>
        <v>3.3333333333333333E-2</v>
      </c>
      <c r="J7" s="10">
        <f t="shared" si="2"/>
        <v>33333</v>
      </c>
      <c r="K7" s="16">
        <f>IF(COUNTIF($B$6:B7,B7)=COUNTIF($B$6:$B$162,B7),1,0)</f>
        <v>0</v>
      </c>
      <c r="L7" s="10">
        <f t="shared" si="3"/>
        <v>1000000</v>
      </c>
      <c r="M7" s="10">
        <f t="shared" si="4"/>
        <v>0</v>
      </c>
      <c r="N7" s="10">
        <f t="shared" si="5"/>
        <v>33333</v>
      </c>
      <c r="O7" s="16" t="str">
        <f t="shared" si="6"/>
        <v>OK</v>
      </c>
    </row>
    <row r="8" spans="2:15" x14ac:dyDescent="0.3">
      <c r="B8" s="14" t="s">
        <v>61</v>
      </c>
      <c r="C8" s="14" t="s">
        <v>66</v>
      </c>
      <c r="D8" s="14" t="s">
        <v>67</v>
      </c>
      <c r="E8" s="19">
        <v>5</v>
      </c>
      <c r="F8" s="18">
        <f t="shared" si="0"/>
        <v>30</v>
      </c>
      <c r="G8" s="20" t="s">
        <v>29</v>
      </c>
      <c r="H8" s="10">
        <f>IFERROR(VLOOKUP(G8,Tarif_Plan!$B$5:$G$10,6,FALSE()),"Kelas tdk ditemukan")</f>
        <v>1000000</v>
      </c>
      <c r="I8" s="15">
        <f t="shared" si="1"/>
        <v>0.16666666666666666</v>
      </c>
      <c r="J8" s="10">
        <f t="shared" si="2"/>
        <v>166667</v>
      </c>
      <c r="K8" s="16">
        <f>IF(COUNTIF($B$6:B8,B8)=COUNTIF($B$6:$B$162,B8),1,0)</f>
        <v>0</v>
      </c>
      <c r="L8" s="10">
        <f t="shared" si="3"/>
        <v>1000000</v>
      </c>
      <c r="M8" s="10">
        <f t="shared" si="4"/>
        <v>0</v>
      </c>
      <c r="N8" s="10">
        <f t="shared" si="5"/>
        <v>166667</v>
      </c>
      <c r="O8" s="16" t="str">
        <f t="shared" si="6"/>
        <v>OK</v>
      </c>
    </row>
    <row r="9" spans="2:15" x14ac:dyDescent="0.3">
      <c r="B9" s="14" t="s">
        <v>61</v>
      </c>
      <c r="C9" s="14" t="s">
        <v>68</v>
      </c>
      <c r="D9" s="14" t="s">
        <v>67</v>
      </c>
      <c r="E9" s="19">
        <v>5</v>
      </c>
      <c r="F9" s="18">
        <f t="shared" si="0"/>
        <v>30</v>
      </c>
      <c r="G9" s="20" t="s">
        <v>29</v>
      </c>
      <c r="H9" s="10">
        <f>IFERROR(VLOOKUP(G9,Tarif_Plan!$B$5:$G$10,6,FALSE()),"Kelas tdk ditemukan")</f>
        <v>1000000</v>
      </c>
      <c r="I9" s="15">
        <f t="shared" si="1"/>
        <v>0.16666666666666666</v>
      </c>
      <c r="J9" s="10">
        <f t="shared" si="2"/>
        <v>166667</v>
      </c>
      <c r="K9" s="16">
        <f>IF(COUNTIF($B$6:B9,B9)=COUNTIF($B$6:$B$162,B9),1,0)</f>
        <v>0</v>
      </c>
      <c r="L9" s="10">
        <f t="shared" si="3"/>
        <v>1000000</v>
      </c>
      <c r="M9" s="10">
        <f t="shared" si="4"/>
        <v>0</v>
      </c>
      <c r="N9" s="10">
        <f t="shared" si="5"/>
        <v>166667</v>
      </c>
      <c r="O9" s="16" t="str">
        <f t="shared" si="6"/>
        <v>OK</v>
      </c>
    </row>
    <row r="10" spans="2:15" x14ac:dyDescent="0.3">
      <c r="B10" s="14" t="s">
        <v>61</v>
      </c>
      <c r="C10" s="14" t="s">
        <v>69</v>
      </c>
      <c r="D10" s="14" t="s">
        <v>70</v>
      </c>
      <c r="E10" s="19">
        <v>5</v>
      </c>
      <c r="F10" s="18">
        <f t="shared" si="0"/>
        <v>30</v>
      </c>
      <c r="G10" s="20" t="s">
        <v>29</v>
      </c>
      <c r="H10" s="10">
        <f>IFERROR(VLOOKUP(G10,Tarif_Plan!$B$5:$G$10,6,FALSE()),"Kelas tdk ditemukan")</f>
        <v>1000000</v>
      </c>
      <c r="I10" s="15">
        <f t="shared" si="1"/>
        <v>0.16666666666666666</v>
      </c>
      <c r="J10" s="10">
        <f t="shared" si="2"/>
        <v>166667</v>
      </c>
      <c r="K10" s="16">
        <f>IF(COUNTIF($B$6:B10,B10)=COUNTIF($B$6:$B$162,B10),1,0)</f>
        <v>0</v>
      </c>
      <c r="L10" s="10">
        <f t="shared" si="3"/>
        <v>1000000</v>
      </c>
      <c r="M10" s="10">
        <f t="shared" si="4"/>
        <v>0</v>
      </c>
      <c r="N10" s="10">
        <f t="shared" si="5"/>
        <v>166667</v>
      </c>
      <c r="O10" s="16" t="str">
        <f t="shared" si="6"/>
        <v>OK</v>
      </c>
    </row>
    <row r="11" spans="2:15" x14ac:dyDescent="0.3">
      <c r="B11" s="14" t="s">
        <v>61</v>
      </c>
      <c r="C11" s="14" t="s">
        <v>71</v>
      </c>
      <c r="D11" s="14" t="s">
        <v>72</v>
      </c>
      <c r="E11" s="19">
        <v>7</v>
      </c>
      <c r="F11" s="18">
        <f t="shared" si="0"/>
        <v>30</v>
      </c>
      <c r="G11" s="20" t="s">
        <v>29</v>
      </c>
      <c r="H11" s="10">
        <f>IFERROR(VLOOKUP(G11,Tarif_Plan!$B$5:$G$10,6,FALSE()),"Kelas tdk ditemukan")</f>
        <v>1000000</v>
      </c>
      <c r="I11" s="15">
        <f t="shared" si="1"/>
        <v>0.23333333333333334</v>
      </c>
      <c r="J11" s="10">
        <f t="shared" si="2"/>
        <v>233333</v>
      </c>
      <c r="K11" s="16">
        <f>IF(COUNTIF($B$6:B11,B11)=COUNTIF($B$6:$B$162,B11),1,0)</f>
        <v>0</v>
      </c>
      <c r="L11" s="10">
        <f t="shared" si="3"/>
        <v>1000000</v>
      </c>
      <c r="M11" s="10">
        <f t="shared" si="4"/>
        <v>0</v>
      </c>
      <c r="N11" s="10">
        <f t="shared" si="5"/>
        <v>233333</v>
      </c>
      <c r="O11" s="16" t="str">
        <f t="shared" si="6"/>
        <v>OK</v>
      </c>
    </row>
    <row r="12" spans="2:15" x14ac:dyDescent="0.3">
      <c r="B12" s="14" t="s">
        <v>61</v>
      </c>
      <c r="C12" s="14" t="s">
        <v>73</v>
      </c>
      <c r="D12" s="14" t="s">
        <v>72</v>
      </c>
      <c r="E12" s="19">
        <v>6</v>
      </c>
      <c r="F12" s="18">
        <f t="shared" si="0"/>
        <v>30</v>
      </c>
      <c r="G12" s="20" t="s">
        <v>29</v>
      </c>
      <c r="H12" s="10">
        <f>IFERROR(VLOOKUP(G12,Tarif_Plan!$B$5:$G$10,6,FALSE()),"Kelas tdk ditemukan")</f>
        <v>1000000</v>
      </c>
      <c r="I12" s="15">
        <f t="shared" si="1"/>
        <v>0.2</v>
      </c>
      <c r="J12" s="10">
        <f t="shared" si="2"/>
        <v>200000</v>
      </c>
      <c r="K12" s="16">
        <f>IF(COUNTIF($B$6:B12,B12)=COUNTIF($B$6:$B$162,B12),1,0)</f>
        <v>0</v>
      </c>
      <c r="L12" s="10">
        <f t="shared" si="3"/>
        <v>1000000</v>
      </c>
      <c r="M12" s="10">
        <f t="shared" si="4"/>
        <v>0</v>
      </c>
      <c r="N12" s="10">
        <f t="shared" si="5"/>
        <v>200000</v>
      </c>
      <c r="O12" s="16" t="str">
        <f t="shared" si="6"/>
        <v>OK</v>
      </c>
    </row>
    <row r="13" spans="2:15" x14ac:dyDescent="0.3">
      <c r="B13" s="14" t="s">
        <v>61</v>
      </c>
      <c r="C13" s="14" t="s">
        <v>74</v>
      </c>
      <c r="D13" s="14" t="s">
        <v>72</v>
      </c>
      <c r="E13" s="19">
        <v>1</v>
      </c>
      <c r="F13" s="18">
        <f t="shared" si="0"/>
        <v>30</v>
      </c>
      <c r="G13" s="20" t="s">
        <v>29</v>
      </c>
      <c r="H13" s="10">
        <f>IFERROR(VLOOKUP(G13,Tarif_Plan!$B$5:$G$10,6,FALSE()),"Kelas tdk ditemukan")</f>
        <v>1000000</v>
      </c>
      <c r="I13" s="15">
        <f t="shared" si="1"/>
        <v>3.3333333333333333E-2</v>
      </c>
      <c r="J13" s="10">
        <f t="shared" si="2"/>
        <v>33333</v>
      </c>
      <c r="K13" s="16">
        <f>IF(COUNTIF($B$6:B13,B13)=COUNTIF($B$6:$B$162,B13),1,0)</f>
        <v>0</v>
      </c>
      <c r="L13" s="10">
        <f t="shared" si="3"/>
        <v>1000000</v>
      </c>
      <c r="M13" s="10">
        <f t="shared" si="4"/>
        <v>0</v>
      </c>
      <c r="N13" s="10">
        <f t="shared" si="5"/>
        <v>33333</v>
      </c>
      <c r="O13" s="16" t="str">
        <f t="shared" si="6"/>
        <v>OK</v>
      </c>
    </row>
    <row r="14" spans="2:15" x14ac:dyDescent="0.3">
      <c r="B14" s="14" t="s">
        <v>61</v>
      </c>
      <c r="C14" s="14" t="s">
        <v>62</v>
      </c>
      <c r="D14" s="14" t="s">
        <v>63</v>
      </c>
      <c r="E14" s="19">
        <v>0</v>
      </c>
      <c r="F14" s="18">
        <f t="shared" si="0"/>
        <v>30</v>
      </c>
      <c r="G14" s="20" t="s">
        <v>29</v>
      </c>
      <c r="H14" s="10">
        <f>IFERROR(VLOOKUP(G14,Tarif_Plan!$B$5:$G$10,6,FALSE()),"Kelas tdk ditemukan")</f>
        <v>1000000</v>
      </c>
      <c r="I14" s="15">
        <f t="shared" si="1"/>
        <v>0</v>
      </c>
      <c r="J14" s="10">
        <f t="shared" si="2"/>
        <v>0</v>
      </c>
      <c r="K14" s="16">
        <f>IF(COUNTIF($B$6:B14,B14)=COUNTIF($B$6:$B$162,B14),1,0)</f>
        <v>1</v>
      </c>
      <c r="L14" s="10">
        <f t="shared" si="3"/>
        <v>1000000</v>
      </c>
      <c r="M14" s="10">
        <f t="shared" si="4"/>
        <v>0</v>
      </c>
      <c r="N14" s="10">
        <f t="shared" si="5"/>
        <v>0</v>
      </c>
      <c r="O14" s="16" t="str">
        <f t="shared" si="6"/>
        <v>OK</v>
      </c>
    </row>
    <row r="15" spans="2:15" x14ac:dyDescent="0.3">
      <c r="B15" s="14" t="s">
        <v>75</v>
      </c>
      <c r="C15" s="14" t="s">
        <v>76</v>
      </c>
      <c r="D15" s="14" t="s">
        <v>63</v>
      </c>
      <c r="E15" s="19">
        <v>0</v>
      </c>
      <c r="F15" s="18">
        <f t="shared" si="0"/>
        <v>17</v>
      </c>
      <c r="G15" s="20" t="s">
        <v>29</v>
      </c>
      <c r="H15" s="10">
        <f>IFERROR(VLOOKUP(G15,Tarif_Plan!$B$5:$G$10,6,FALSE()),"Kelas tdk ditemukan")</f>
        <v>1000000</v>
      </c>
      <c r="I15" s="15">
        <f t="shared" si="1"/>
        <v>0</v>
      </c>
      <c r="J15" s="10">
        <f t="shared" si="2"/>
        <v>0</v>
      </c>
      <c r="K15" s="16">
        <f>IF(COUNTIF($B$6:B15,B15)=COUNTIF($B$6:$B$162,B15),1,0)</f>
        <v>0</v>
      </c>
      <c r="L15" s="10">
        <f t="shared" si="3"/>
        <v>1000002</v>
      </c>
      <c r="M15" s="10">
        <f t="shared" si="4"/>
        <v>-2</v>
      </c>
      <c r="N15" s="10">
        <f t="shared" si="5"/>
        <v>0</v>
      </c>
      <c r="O15" s="16" t="str">
        <f t="shared" si="6"/>
        <v>OK</v>
      </c>
    </row>
    <row r="16" spans="2:15" x14ac:dyDescent="0.3">
      <c r="B16" s="14" t="s">
        <v>75</v>
      </c>
      <c r="C16" s="14" t="s">
        <v>77</v>
      </c>
      <c r="D16" s="14" t="s">
        <v>67</v>
      </c>
      <c r="E16" s="19">
        <v>3</v>
      </c>
      <c r="F16" s="18">
        <f t="shared" si="0"/>
        <v>17</v>
      </c>
      <c r="G16" s="20" t="s">
        <v>29</v>
      </c>
      <c r="H16" s="10">
        <f>IFERROR(VLOOKUP(G16,Tarif_Plan!$B$5:$G$10,6,FALSE()),"Kelas tdk ditemukan")</f>
        <v>1000000</v>
      </c>
      <c r="I16" s="15">
        <f t="shared" si="1"/>
        <v>0.17647058823529413</v>
      </c>
      <c r="J16" s="10">
        <f t="shared" si="2"/>
        <v>176471</v>
      </c>
      <c r="K16" s="16">
        <f>IF(COUNTIF($B$6:B16,B16)=COUNTIF($B$6:$B$162,B16),1,0)</f>
        <v>0</v>
      </c>
      <c r="L16" s="10">
        <f t="shared" si="3"/>
        <v>1000002</v>
      </c>
      <c r="M16" s="10">
        <f t="shared" si="4"/>
        <v>-2</v>
      </c>
      <c r="N16" s="10">
        <f t="shared" si="5"/>
        <v>176471</v>
      </c>
      <c r="O16" s="16" t="str">
        <f t="shared" si="6"/>
        <v>OK</v>
      </c>
    </row>
    <row r="17" spans="2:15" x14ac:dyDescent="0.3">
      <c r="B17" s="14" t="s">
        <v>75</v>
      </c>
      <c r="C17" s="14" t="s">
        <v>78</v>
      </c>
      <c r="D17" s="14" t="s">
        <v>70</v>
      </c>
      <c r="E17" s="19">
        <v>3</v>
      </c>
      <c r="F17" s="18">
        <f t="shared" si="0"/>
        <v>17</v>
      </c>
      <c r="G17" s="20" t="s">
        <v>29</v>
      </c>
      <c r="H17" s="10">
        <f>IFERROR(VLOOKUP(G17,Tarif_Plan!$B$5:$G$10,6,FALSE()),"Kelas tdk ditemukan")</f>
        <v>1000000</v>
      </c>
      <c r="I17" s="15">
        <f t="shared" si="1"/>
        <v>0.17647058823529413</v>
      </c>
      <c r="J17" s="10">
        <f t="shared" si="2"/>
        <v>176471</v>
      </c>
      <c r="K17" s="16">
        <f>IF(COUNTIF($B$6:B17,B17)=COUNTIF($B$6:$B$162,B17),1,0)</f>
        <v>0</v>
      </c>
      <c r="L17" s="10">
        <f t="shared" si="3"/>
        <v>1000002</v>
      </c>
      <c r="M17" s="10">
        <f t="shared" si="4"/>
        <v>-2</v>
      </c>
      <c r="N17" s="10">
        <f t="shared" si="5"/>
        <v>176471</v>
      </c>
      <c r="O17" s="16" t="str">
        <f t="shared" si="6"/>
        <v>OK</v>
      </c>
    </row>
    <row r="18" spans="2:15" x14ac:dyDescent="0.3">
      <c r="B18" s="14" t="s">
        <v>75</v>
      </c>
      <c r="C18" s="14" t="s">
        <v>79</v>
      </c>
      <c r="D18" s="14" t="s">
        <v>70</v>
      </c>
      <c r="E18" s="19">
        <v>3</v>
      </c>
      <c r="F18" s="18">
        <f t="shared" si="0"/>
        <v>17</v>
      </c>
      <c r="G18" s="20" t="s">
        <v>29</v>
      </c>
      <c r="H18" s="10">
        <f>IFERROR(VLOOKUP(G18,Tarif_Plan!$B$5:$G$10,6,FALSE()),"Kelas tdk ditemukan")</f>
        <v>1000000</v>
      </c>
      <c r="I18" s="15">
        <f t="shared" si="1"/>
        <v>0.17647058823529413</v>
      </c>
      <c r="J18" s="10">
        <f t="shared" si="2"/>
        <v>176471</v>
      </c>
      <c r="K18" s="16">
        <f>IF(COUNTIF($B$6:B18,B18)=COUNTIF($B$6:$B$162,B18),1,0)</f>
        <v>0</v>
      </c>
      <c r="L18" s="10">
        <f t="shared" si="3"/>
        <v>1000002</v>
      </c>
      <c r="M18" s="10">
        <f t="shared" si="4"/>
        <v>-2</v>
      </c>
      <c r="N18" s="10">
        <f t="shared" si="5"/>
        <v>176471</v>
      </c>
      <c r="O18" s="16" t="str">
        <f t="shared" si="6"/>
        <v>OK</v>
      </c>
    </row>
    <row r="19" spans="2:15" x14ac:dyDescent="0.3">
      <c r="B19" s="14" t="s">
        <v>75</v>
      </c>
      <c r="C19" s="14" t="s">
        <v>80</v>
      </c>
      <c r="D19" s="14" t="s">
        <v>70</v>
      </c>
      <c r="E19" s="19">
        <v>3</v>
      </c>
      <c r="F19" s="18">
        <f t="shared" si="0"/>
        <v>17</v>
      </c>
      <c r="G19" s="20" t="s">
        <v>29</v>
      </c>
      <c r="H19" s="10">
        <f>IFERROR(VLOOKUP(G19,Tarif_Plan!$B$5:$G$10,6,FALSE()),"Kelas tdk ditemukan")</f>
        <v>1000000</v>
      </c>
      <c r="I19" s="15">
        <f t="shared" si="1"/>
        <v>0.17647058823529413</v>
      </c>
      <c r="J19" s="10">
        <f t="shared" si="2"/>
        <v>176471</v>
      </c>
      <c r="K19" s="16">
        <f>IF(COUNTIF($B$6:B19,B19)=COUNTIF($B$6:$B$162,B19),1,0)</f>
        <v>0</v>
      </c>
      <c r="L19" s="10">
        <f t="shared" si="3"/>
        <v>1000002</v>
      </c>
      <c r="M19" s="10">
        <f t="shared" si="4"/>
        <v>-2</v>
      </c>
      <c r="N19" s="10">
        <f t="shared" si="5"/>
        <v>176471</v>
      </c>
      <c r="O19" s="16" t="str">
        <f t="shared" si="6"/>
        <v>OK</v>
      </c>
    </row>
    <row r="20" spans="2:15" x14ac:dyDescent="0.3">
      <c r="B20" s="14" t="s">
        <v>75</v>
      </c>
      <c r="C20" s="14" t="s">
        <v>81</v>
      </c>
      <c r="D20" s="14" t="s">
        <v>72</v>
      </c>
      <c r="E20" s="19">
        <v>2</v>
      </c>
      <c r="F20" s="18">
        <f t="shared" si="0"/>
        <v>17</v>
      </c>
      <c r="G20" s="20" t="s">
        <v>29</v>
      </c>
      <c r="H20" s="10">
        <f>IFERROR(VLOOKUP(G20,Tarif_Plan!$B$5:$G$10,6,FALSE()),"Kelas tdk ditemukan")</f>
        <v>1000000</v>
      </c>
      <c r="I20" s="15">
        <f t="shared" si="1"/>
        <v>0.11764705882352941</v>
      </c>
      <c r="J20" s="10">
        <f t="shared" si="2"/>
        <v>117647</v>
      </c>
      <c r="K20" s="16">
        <f>IF(COUNTIF($B$6:B20,B20)=COUNTIF($B$6:$B$162,B20),1,0)</f>
        <v>0</v>
      </c>
      <c r="L20" s="10">
        <f t="shared" si="3"/>
        <v>1000002</v>
      </c>
      <c r="M20" s="10">
        <f t="shared" si="4"/>
        <v>-2</v>
      </c>
      <c r="N20" s="10">
        <f t="shared" si="5"/>
        <v>117647</v>
      </c>
      <c r="O20" s="16" t="str">
        <f t="shared" si="6"/>
        <v>OK</v>
      </c>
    </row>
    <row r="21" spans="2:15" x14ac:dyDescent="0.3">
      <c r="B21" s="14" t="s">
        <v>75</v>
      </c>
      <c r="C21" s="14" t="s">
        <v>82</v>
      </c>
      <c r="D21" s="14" t="s">
        <v>72</v>
      </c>
      <c r="E21" s="19">
        <v>3</v>
      </c>
      <c r="F21" s="18">
        <f t="shared" si="0"/>
        <v>17</v>
      </c>
      <c r="G21" s="20" t="s">
        <v>29</v>
      </c>
      <c r="H21" s="10">
        <f>IFERROR(VLOOKUP(G21,Tarif_Plan!$B$5:$G$10,6,FALSE()),"Kelas tdk ditemukan")</f>
        <v>1000000</v>
      </c>
      <c r="I21" s="15">
        <f t="shared" si="1"/>
        <v>0.17647058823529413</v>
      </c>
      <c r="J21" s="10">
        <f t="shared" si="2"/>
        <v>176471</v>
      </c>
      <c r="K21" s="16">
        <f>IF(COUNTIF($B$6:B21,B21)=COUNTIF($B$6:$B$162,B21),1,0)</f>
        <v>0</v>
      </c>
      <c r="L21" s="10">
        <f t="shared" si="3"/>
        <v>1000002</v>
      </c>
      <c r="M21" s="10">
        <f t="shared" si="4"/>
        <v>-2</v>
      </c>
      <c r="N21" s="10">
        <f t="shared" si="5"/>
        <v>176471</v>
      </c>
      <c r="O21" s="16" t="str">
        <f t="shared" si="6"/>
        <v>OK</v>
      </c>
    </row>
    <row r="22" spans="2:15" x14ac:dyDescent="0.3">
      <c r="B22" s="14" t="s">
        <v>75</v>
      </c>
      <c r="C22" s="14" t="s">
        <v>76</v>
      </c>
      <c r="D22" s="14" t="s">
        <v>63</v>
      </c>
      <c r="E22" s="19">
        <v>0</v>
      </c>
      <c r="F22" s="18">
        <f t="shared" si="0"/>
        <v>17</v>
      </c>
      <c r="G22" s="20" t="s">
        <v>29</v>
      </c>
      <c r="H22" s="10">
        <f>IFERROR(VLOOKUP(G22,Tarif_Plan!$B$5:$G$10,6,FALSE()),"Kelas tdk ditemukan")</f>
        <v>1000000</v>
      </c>
      <c r="I22" s="15">
        <f t="shared" si="1"/>
        <v>0</v>
      </c>
      <c r="J22" s="10">
        <f t="shared" si="2"/>
        <v>0</v>
      </c>
      <c r="K22" s="16">
        <f>IF(COUNTIF($B$6:B22,B22)=COUNTIF($B$6:$B$162,B22),1,0)</f>
        <v>1</v>
      </c>
      <c r="L22" s="10">
        <f t="shared" si="3"/>
        <v>1000002</v>
      </c>
      <c r="M22" s="10">
        <f t="shared" si="4"/>
        <v>-2</v>
      </c>
      <c r="N22" s="10">
        <f t="shared" si="5"/>
        <v>-2</v>
      </c>
      <c r="O22" s="16" t="str">
        <f t="shared" si="6"/>
        <v>OK</v>
      </c>
    </row>
    <row r="23" spans="2:15" x14ac:dyDescent="0.3">
      <c r="B23" s="14" t="s">
        <v>83</v>
      </c>
      <c r="C23" s="14" t="s">
        <v>84</v>
      </c>
      <c r="D23" s="14" t="s">
        <v>65</v>
      </c>
      <c r="E23" s="19">
        <v>4</v>
      </c>
      <c r="F23" s="18">
        <f t="shared" si="0"/>
        <v>16</v>
      </c>
      <c r="G23" s="20" t="s">
        <v>29</v>
      </c>
      <c r="H23" s="10">
        <f>IFERROR(VLOOKUP(G23,Tarif_Plan!$B$5:$G$10,6,FALSE()),"Kelas tdk ditemukan")</f>
        <v>1000000</v>
      </c>
      <c r="I23" s="15">
        <f t="shared" si="1"/>
        <v>0.25</v>
      </c>
      <c r="J23" s="10">
        <f t="shared" si="2"/>
        <v>250000</v>
      </c>
      <c r="K23" s="16">
        <f>IF(COUNTIF($B$6:B23,B23)=COUNTIF($B$6:$B$162,B23),1,0)</f>
        <v>0</v>
      </c>
      <c r="L23" s="10">
        <f t="shared" si="3"/>
        <v>1000000</v>
      </c>
      <c r="M23" s="10">
        <f t="shared" si="4"/>
        <v>0</v>
      </c>
      <c r="N23" s="10">
        <f t="shared" si="5"/>
        <v>250000</v>
      </c>
      <c r="O23" s="16" t="str">
        <f t="shared" si="6"/>
        <v>OK</v>
      </c>
    </row>
    <row r="24" spans="2:15" x14ac:dyDescent="0.3">
      <c r="B24" s="14" t="s">
        <v>83</v>
      </c>
      <c r="C24" s="14" t="s">
        <v>66</v>
      </c>
      <c r="D24" s="14" t="s">
        <v>67</v>
      </c>
      <c r="E24" s="19">
        <v>3</v>
      </c>
      <c r="F24" s="18">
        <f t="shared" si="0"/>
        <v>16</v>
      </c>
      <c r="G24" s="20" t="s">
        <v>29</v>
      </c>
      <c r="H24" s="10">
        <f>IFERROR(VLOOKUP(G24,Tarif_Plan!$B$5:$G$10,6,FALSE()),"Kelas tdk ditemukan")</f>
        <v>1000000</v>
      </c>
      <c r="I24" s="15">
        <f t="shared" si="1"/>
        <v>0.1875</v>
      </c>
      <c r="J24" s="10">
        <f t="shared" si="2"/>
        <v>187500</v>
      </c>
      <c r="K24" s="16">
        <f>IF(COUNTIF($B$6:B24,B24)=COUNTIF($B$6:$B$162,B24),1,0)</f>
        <v>0</v>
      </c>
      <c r="L24" s="10">
        <f t="shared" si="3"/>
        <v>1000000</v>
      </c>
      <c r="M24" s="10">
        <f t="shared" si="4"/>
        <v>0</v>
      </c>
      <c r="N24" s="10">
        <f t="shared" si="5"/>
        <v>187500</v>
      </c>
      <c r="O24" s="16" t="str">
        <f t="shared" si="6"/>
        <v>OK</v>
      </c>
    </row>
    <row r="25" spans="2:15" x14ac:dyDescent="0.3">
      <c r="B25" s="14" t="s">
        <v>83</v>
      </c>
      <c r="C25" s="14" t="s">
        <v>69</v>
      </c>
      <c r="D25" s="14" t="s">
        <v>70</v>
      </c>
      <c r="E25" s="19">
        <v>3</v>
      </c>
      <c r="F25" s="18">
        <f t="shared" si="0"/>
        <v>16</v>
      </c>
      <c r="G25" s="20" t="s">
        <v>29</v>
      </c>
      <c r="H25" s="10">
        <f>IFERROR(VLOOKUP(G25,Tarif_Plan!$B$5:$G$10,6,FALSE()),"Kelas tdk ditemukan")</f>
        <v>1000000</v>
      </c>
      <c r="I25" s="15">
        <f t="shared" si="1"/>
        <v>0.1875</v>
      </c>
      <c r="J25" s="10">
        <f t="shared" si="2"/>
        <v>187500</v>
      </c>
      <c r="K25" s="16">
        <f>IF(COUNTIF($B$6:B25,B25)=COUNTIF($B$6:$B$162,B25),1,0)</f>
        <v>0</v>
      </c>
      <c r="L25" s="10">
        <f t="shared" si="3"/>
        <v>1000000</v>
      </c>
      <c r="M25" s="10">
        <f t="shared" si="4"/>
        <v>0</v>
      </c>
      <c r="N25" s="10">
        <f t="shared" si="5"/>
        <v>187500</v>
      </c>
      <c r="O25" s="16" t="str">
        <f t="shared" si="6"/>
        <v>OK</v>
      </c>
    </row>
    <row r="26" spans="2:15" x14ac:dyDescent="0.3">
      <c r="B26" s="14" t="s">
        <v>83</v>
      </c>
      <c r="C26" s="14" t="s">
        <v>71</v>
      </c>
      <c r="D26" s="14" t="s">
        <v>72</v>
      </c>
      <c r="E26" s="19">
        <v>3</v>
      </c>
      <c r="F26" s="18">
        <f t="shared" si="0"/>
        <v>16</v>
      </c>
      <c r="G26" s="20" t="s">
        <v>29</v>
      </c>
      <c r="H26" s="10">
        <f>IFERROR(VLOOKUP(G26,Tarif_Plan!$B$5:$G$10,6,FALSE()),"Kelas tdk ditemukan")</f>
        <v>1000000</v>
      </c>
      <c r="I26" s="15">
        <f t="shared" si="1"/>
        <v>0.1875</v>
      </c>
      <c r="J26" s="10">
        <f t="shared" si="2"/>
        <v>187500</v>
      </c>
      <c r="K26" s="16">
        <f>IF(COUNTIF($B$6:B26,B26)=COUNTIF($B$6:$B$162,B26),1,0)</f>
        <v>0</v>
      </c>
      <c r="L26" s="10">
        <f t="shared" si="3"/>
        <v>1000000</v>
      </c>
      <c r="M26" s="10">
        <f t="shared" si="4"/>
        <v>0</v>
      </c>
      <c r="N26" s="10">
        <f t="shared" si="5"/>
        <v>187500</v>
      </c>
      <c r="O26" s="16" t="str">
        <f t="shared" si="6"/>
        <v>OK</v>
      </c>
    </row>
    <row r="27" spans="2:15" x14ac:dyDescent="0.3">
      <c r="B27" s="14" t="s">
        <v>83</v>
      </c>
      <c r="C27" s="14" t="s">
        <v>73</v>
      </c>
      <c r="D27" s="14" t="s">
        <v>72</v>
      </c>
      <c r="E27" s="19">
        <v>3</v>
      </c>
      <c r="F27" s="18">
        <f t="shared" si="0"/>
        <v>16</v>
      </c>
      <c r="G27" s="20" t="s">
        <v>29</v>
      </c>
      <c r="H27" s="10">
        <f>IFERROR(VLOOKUP(G27,Tarif_Plan!$B$5:$G$10,6,FALSE()),"Kelas tdk ditemukan")</f>
        <v>1000000</v>
      </c>
      <c r="I27" s="15">
        <f t="shared" si="1"/>
        <v>0.1875</v>
      </c>
      <c r="J27" s="10">
        <f t="shared" si="2"/>
        <v>187500</v>
      </c>
      <c r="K27" s="16">
        <f>IF(COUNTIF($B$6:B27,B27)=COUNTIF($B$6:$B$162,B27),1,0)</f>
        <v>1</v>
      </c>
      <c r="L27" s="10">
        <f t="shared" si="3"/>
        <v>1000000</v>
      </c>
      <c r="M27" s="10">
        <f t="shared" si="4"/>
        <v>0</v>
      </c>
      <c r="N27" s="10">
        <f t="shared" si="5"/>
        <v>187500</v>
      </c>
      <c r="O27" s="16" t="str">
        <f t="shared" si="6"/>
        <v>OK</v>
      </c>
    </row>
    <row r="28" spans="2:15" x14ac:dyDescent="0.3">
      <c r="B28" s="14" t="s">
        <v>85</v>
      </c>
      <c r="C28" s="14" t="s">
        <v>86</v>
      </c>
      <c r="D28" s="14" t="s">
        <v>63</v>
      </c>
      <c r="E28" s="19">
        <v>0</v>
      </c>
      <c r="F28" s="18">
        <f t="shared" si="0"/>
        <v>12</v>
      </c>
      <c r="G28" s="20" t="s">
        <v>29</v>
      </c>
      <c r="H28" s="10">
        <f>IFERROR(VLOOKUP(G28,Tarif_Plan!$B$5:$G$10,6,FALSE()),"Kelas tdk ditemukan")</f>
        <v>1000000</v>
      </c>
      <c r="I28" s="15">
        <f t="shared" si="1"/>
        <v>0</v>
      </c>
      <c r="J28" s="10">
        <f t="shared" si="2"/>
        <v>0</v>
      </c>
      <c r="K28" s="16">
        <f>IF(COUNTIF($B$6:B28,B28)=COUNTIF($B$6:$B$162,B28),1,0)</f>
        <v>0</v>
      </c>
      <c r="L28" s="10">
        <f t="shared" si="3"/>
        <v>1000000</v>
      </c>
      <c r="M28" s="10">
        <f t="shared" si="4"/>
        <v>0</v>
      </c>
      <c r="N28" s="10">
        <f t="shared" si="5"/>
        <v>0</v>
      </c>
      <c r="O28" s="16" t="str">
        <f t="shared" si="6"/>
        <v>OK</v>
      </c>
    </row>
    <row r="29" spans="2:15" x14ac:dyDescent="0.3">
      <c r="B29" s="14" t="s">
        <v>85</v>
      </c>
      <c r="C29" s="14" t="s">
        <v>62</v>
      </c>
      <c r="D29" s="14" t="s">
        <v>63</v>
      </c>
      <c r="E29" s="19">
        <v>0</v>
      </c>
      <c r="F29" s="18">
        <f t="shared" si="0"/>
        <v>12</v>
      </c>
      <c r="G29" s="20" t="s">
        <v>29</v>
      </c>
      <c r="H29" s="10">
        <f>IFERROR(VLOOKUP(G29,Tarif_Plan!$B$5:$G$10,6,FALSE()),"Kelas tdk ditemukan")</f>
        <v>1000000</v>
      </c>
      <c r="I29" s="15">
        <f t="shared" si="1"/>
        <v>0</v>
      </c>
      <c r="J29" s="10">
        <f t="shared" si="2"/>
        <v>0</v>
      </c>
      <c r="K29" s="16">
        <f>IF(COUNTIF($B$6:B29,B29)=COUNTIF($B$6:$B$162,B29),1,0)</f>
        <v>0</v>
      </c>
      <c r="L29" s="10">
        <f t="shared" si="3"/>
        <v>1000000</v>
      </c>
      <c r="M29" s="10">
        <f t="shared" si="4"/>
        <v>0</v>
      </c>
      <c r="N29" s="10">
        <f t="shared" si="5"/>
        <v>0</v>
      </c>
      <c r="O29" s="16" t="str">
        <f t="shared" si="6"/>
        <v>OK</v>
      </c>
    </row>
    <row r="30" spans="2:15" x14ac:dyDescent="0.3">
      <c r="B30" s="14" t="s">
        <v>85</v>
      </c>
      <c r="C30" s="14" t="s">
        <v>78</v>
      </c>
      <c r="D30" s="14" t="s">
        <v>70</v>
      </c>
      <c r="E30" s="19">
        <v>4</v>
      </c>
      <c r="F30" s="18">
        <f t="shared" si="0"/>
        <v>12</v>
      </c>
      <c r="G30" s="20" t="s">
        <v>29</v>
      </c>
      <c r="H30" s="10">
        <f>IFERROR(VLOOKUP(G30,Tarif_Plan!$B$5:$G$10,6,FALSE()),"Kelas tdk ditemukan")</f>
        <v>1000000</v>
      </c>
      <c r="I30" s="15">
        <f t="shared" si="1"/>
        <v>0.33333333333333331</v>
      </c>
      <c r="J30" s="10">
        <f t="shared" si="2"/>
        <v>333333</v>
      </c>
      <c r="K30" s="16">
        <f>IF(COUNTIF($B$6:B30,B30)=COUNTIF($B$6:$B$162,B30),1,0)</f>
        <v>0</v>
      </c>
      <c r="L30" s="10">
        <f t="shared" si="3"/>
        <v>1000000</v>
      </c>
      <c r="M30" s="10">
        <f t="shared" si="4"/>
        <v>0</v>
      </c>
      <c r="N30" s="10">
        <f t="shared" si="5"/>
        <v>333333</v>
      </c>
      <c r="O30" s="16" t="str">
        <f t="shared" si="6"/>
        <v>OK</v>
      </c>
    </row>
    <row r="31" spans="2:15" x14ac:dyDescent="0.3">
      <c r="B31" s="14" t="s">
        <v>85</v>
      </c>
      <c r="C31" s="14" t="s">
        <v>79</v>
      </c>
      <c r="D31" s="14" t="s">
        <v>70</v>
      </c>
      <c r="E31" s="19">
        <v>2</v>
      </c>
      <c r="F31" s="18">
        <f t="shared" si="0"/>
        <v>12</v>
      </c>
      <c r="G31" s="20" t="s">
        <v>29</v>
      </c>
      <c r="H31" s="10">
        <f>IFERROR(VLOOKUP(G31,Tarif_Plan!$B$5:$G$10,6,FALSE()),"Kelas tdk ditemukan")</f>
        <v>1000000</v>
      </c>
      <c r="I31" s="15">
        <f t="shared" si="1"/>
        <v>0.16666666666666666</v>
      </c>
      <c r="J31" s="10">
        <f t="shared" si="2"/>
        <v>166667</v>
      </c>
      <c r="K31" s="16">
        <f>IF(COUNTIF($B$6:B31,B31)=COUNTIF($B$6:$B$162,B31),1,0)</f>
        <v>0</v>
      </c>
      <c r="L31" s="10">
        <f t="shared" si="3"/>
        <v>1000000</v>
      </c>
      <c r="M31" s="10">
        <f t="shared" si="4"/>
        <v>0</v>
      </c>
      <c r="N31" s="10">
        <f t="shared" si="5"/>
        <v>166667</v>
      </c>
      <c r="O31" s="16" t="str">
        <f t="shared" si="6"/>
        <v>OK</v>
      </c>
    </row>
    <row r="32" spans="2:15" x14ac:dyDescent="0.3">
      <c r="B32" s="14" t="s">
        <v>85</v>
      </c>
      <c r="C32" s="14" t="s">
        <v>80</v>
      </c>
      <c r="D32" s="14" t="s">
        <v>70</v>
      </c>
      <c r="E32" s="19">
        <v>3</v>
      </c>
      <c r="F32" s="18">
        <f t="shared" si="0"/>
        <v>12</v>
      </c>
      <c r="G32" s="20" t="s">
        <v>29</v>
      </c>
      <c r="H32" s="10">
        <f>IFERROR(VLOOKUP(G32,Tarif_Plan!$B$5:$G$10,6,FALSE()),"Kelas tdk ditemukan")</f>
        <v>1000000</v>
      </c>
      <c r="I32" s="15">
        <f t="shared" si="1"/>
        <v>0.25</v>
      </c>
      <c r="J32" s="10">
        <f t="shared" si="2"/>
        <v>250000</v>
      </c>
      <c r="K32" s="16">
        <f>IF(COUNTIF($B$6:B32,B32)=COUNTIF($B$6:$B$162,B32),1,0)</f>
        <v>0</v>
      </c>
      <c r="L32" s="10">
        <f t="shared" si="3"/>
        <v>1000000</v>
      </c>
      <c r="M32" s="10">
        <f t="shared" si="4"/>
        <v>0</v>
      </c>
      <c r="N32" s="10">
        <f t="shared" si="5"/>
        <v>250000</v>
      </c>
      <c r="O32" s="16" t="str">
        <f t="shared" si="6"/>
        <v>OK</v>
      </c>
    </row>
    <row r="33" spans="2:15" x14ac:dyDescent="0.3">
      <c r="B33" s="14" t="s">
        <v>85</v>
      </c>
      <c r="C33" s="14" t="s">
        <v>81</v>
      </c>
      <c r="D33" s="14" t="s">
        <v>72</v>
      </c>
      <c r="E33" s="19">
        <v>3</v>
      </c>
      <c r="F33" s="18">
        <f t="shared" si="0"/>
        <v>12</v>
      </c>
      <c r="G33" s="20" t="s">
        <v>29</v>
      </c>
      <c r="H33" s="10">
        <f>IFERROR(VLOOKUP(G33,Tarif_Plan!$B$5:$G$10,6,FALSE()),"Kelas tdk ditemukan")</f>
        <v>1000000</v>
      </c>
      <c r="I33" s="15">
        <f t="shared" si="1"/>
        <v>0.25</v>
      </c>
      <c r="J33" s="10">
        <f t="shared" si="2"/>
        <v>250000</v>
      </c>
      <c r="K33" s="16">
        <f>IF(COUNTIF($B$6:B33,B33)=COUNTIF($B$6:$B$162,B33),1,0)</f>
        <v>0</v>
      </c>
      <c r="L33" s="10">
        <f t="shared" si="3"/>
        <v>1000000</v>
      </c>
      <c r="M33" s="10">
        <f t="shared" si="4"/>
        <v>0</v>
      </c>
      <c r="N33" s="10">
        <f t="shared" si="5"/>
        <v>250000</v>
      </c>
      <c r="O33" s="16" t="str">
        <f t="shared" si="6"/>
        <v>OK</v>
      </c>
    </row>
    <row r="34" spans="2:15" x14ac:dyDescent="0.3">
      <c r="B34" s="14" t="s">
        <v>85</v>
      </c>
      <c r="C34" s="14" t="s">
        <v>86</v>
      </c>
      <c r="D34" s="14" t="s">
        <v>63</v>
      </c>
      <c r="E34" s="19">
        <v>0</v>
      </c>
      <c r="F34" s="18">
        <f t="shared" si="0"/>
        <v>12</v>
      </c>
      <c r="G34" s="20" t="s">
        <v>29</v>
      </c>
      <c r="H34" s="10">
        <f>IFERROR(VLOOKUP(G34,Tarif_Plan!$B$5:$G$10,6,FALSE()),"Kelas tdk ditemukan")</f>
        <v>1000000</v>
      </c>
      <c r="I34" s="15">
        <f t="shared" si="1"/>
        <v>0</v>
      </c>
      <c r="J34" s="10">
        <f t="shared" si="2"/>
        <v>0</v>
      </c>
      <c r="K34" s="16">
        <f>IF(COUNTIF($B$6:B34,B34)=COUNTIF($B$6:$B$162,B34),1,0)</f>
        <v>0</v>
      </c>
      <c r="L34" s="10">
        <f t="shared" si="3"/>
        <v>1000000</v>
      </c>
      <c r="M34" s="10">
        <f t="shared" si="4"/>
        <v>0</v>
      </c>
      <c r="N34" s="10">
        <f t="shared" si="5"/>
        <v>0</v>
      </c>
      <c r="O34" s="16" t="str">
        <f t="shared" si="6"/>
        <v>OK</v>
      </c>
    </row>
    <row r="35" spans="2:15" x14ac:dyDescent="0.3">
      <c r="B35" s="14" t="s">
        <v>85</v>
      </c>
      <c r="C35" s="14" t="s">
        <v>62</v>
      </c>
      <c r="D35" s="14" t="s">
        <v>63</v>
      </c>
      <c r="E35" s="19">
        <v>0</v>
      </c>
      <c r="F35" s="18">
        <f t="shared" si="0"/>
        <v>12</v>
      </c>
      <c r="G35" s="20" t="s">
        <v>29</v>
      </c>
      <c r="H35" s="10">
        <f>IFERROR(VLOOKUP(G35,Tarif_Plan!$B$5:$G$10,6,FALSE()),"Kelas tdk ditemukan")</f>
        <v>1000000</v>
      </c>
      <c r="I35" s="15">
        <f t="shared" si="1"/>
        <v>0</v>
      </c>
      <c r="J35" s="10">
        <f t="shared" si="2"/>
        <v>0</v>
      </c>
      <c r="K35" s="16">
        <f>IF(COUNTIF($B$6:B35,B35)=COUNTIF($B$6:$B$162,B35),1,0)</f>
        <v>1</v>
      </c>
      <c r="L35" s="10">
        <f t="shared" si="3"/>
        <v>1000000</v>
      </c>
      <c r="M35" s="10">
        <f t="shared" si="4"/>
        <v>0</v>
      </c>
      <c r="N35" s="10">
        <f t="shared" si="5"/>
        <v>0</v>
      </c>
      <c r="O35" s="16" t="str">
        <f t="shared" si="6"/>
        <v>OK</v>
      </c>
    </row>
    <row r="36" spans="2:15" x14ac:dyDescent="0.3">
      <c r="B36" s="14" t="s">
        <v>87</v>
      </c>
      <c r="C36" s="14" t="s">
        <v>62</v>
      </c>
      <c r="D36" s="14" t="s">
        <v>63</v>
      </c>
      <c r="E36" s="19">
        <v>0</v>
      </c>
      <c r="F36" s="18">
        <f t="shared" si="0"/>
        <v>19</v>
      </c>
      <c r="G36" s="20" t="s">
        <v>29</v>
      </c>
      <c r="H36" s="10">
        <f>IFERROR(VLOOKUP(G36,Tarif_Plan!$B$5:$G$10,6,FALSE()),"Kelas tdk ditemukan")</f>
        <v>1000000</v>
      </c>
      <c r="I36" s="15">
        <f t="shared" si="1"/>
        <v>0</v>
      </c>
      <c r="J36" s="10">
        <f t="shared" si="2"/>
        <v>0</v>
      </c>
      <c r="K36" s="16">
        <f>IF(COUNTIF($B$6:B36,B36)=COUNTIF($B$6:$B$162,B36),1,0)</f>
        <v>0</v>
      </c>
      <c r="L36" s="10">
        <f t="shared" si="3"/>
        <v>1000000</v>
      </c>
      <c r="M36" s="10">
        <f t="shared" si="4"/>
        <v>0</v>
      </c>
      <c r="N36" s="10">
        <f t="shared" si="5"/>
        <v>0</v>
      </c>
      <c r="O36" s="16" t="str">
        <f t="shared" si="6"/>
        <v>OK</v>
      </c>
    </row>
    <row r="37" spans="2:15" x14ac:dyDescent="0.3">
      <c r="B37" s="14" t="s">
        <v>87</v>
      </c>
      <c r="C37" s="14" t="s">
        <v>84</v>
      </c>
      <c r="D37" s="14" t="s">
        <v>65</v>
      </c>
      <c r="E37" s="19">
        <v>2</v>
      </c>
      <c r="F37" s="18">
        <f t="shared" si="0"/>
        <v>19</v>
      </c>
      <c r="G37" s="20" t="s">
        <v>29</v>
      </c>
      <c r="H37" s="10">
        <f>IFERROR(VLOOKUP(G37,Tarif_Plan!$B$5:$G$10,6,FALSE()),"Kelas tdk ditemukan")</f>
        <v>1000000</v>
      </c>
      <c r="I37" s="15">
        <f t="shared" si="1"/>
        <v>0.10526315789473684</v>
      </c>
      <c r="J37" s="10">
        <f t="shared" si="2"/>
        <v>105263</v>
      </c>
      <c r="K37" s="16">
        <f>IF(COUNTIF($B$6:B37,B37)=COUNTIF($B$6:$B$162,B37),1,0)</f>
        <v>0</v>
      </c>
      <c r="L37" s="10">
        <f t="shared" si="3"/>
        <v>1000000</v>
      </c>
      <c r="M37" s="10">
        <f t="shared" si="4"/>
        <v>0</v>
      </c>
      <c r="N37" s="10">
        <f t="shared" si="5"/>
        <v>105263</v>
      </c>
      <c r="O37" s="16" t="str">
        <f t="shared" si="6"/>
        <v>OK</v>
      </c>
    </row>
    <row r="38" spans="2:15" x14ac:dyDescent="0.3">
      <c r="B38" s="14" t="s">
        <v>87</v>
      </c>
      <c r="C38" s="14" t="s">
        <v>66</v>
      </c>
      <c r="D38" s="14" t="s">
        <v>67</v>
      </c>
      <c r="E38" s="19">
        <v>2</v>
      </c>
      <c r="F38" s="18">
        <f t="shared" ref="F38:F69" si="7">SUMIF($B$6:$B$162,B38,$E$6:$E$162)</f>
        <v>19</v>
      </c>
      <c r="G38" s="20" t="s">
        <v>29</v>
      </c>
      <c r="H38" s="10">
        <f>IFERROR(VLOOKUP(G38,Tarif_Plan!$B$5:$G$10,6,FALSE()),"Kelas tdk ditemukan")</f>
        <v>1000000</v>
      </c>
      <c r="I38" s="15">
        <f t="shared" ref="I38:I69" si="8">IF(F38=0,0,E38/F38)</f>
        <v>0.10526315789473684</v>
      </c>
      <c r="J38" s="10">
        <f t="shared" ref="J38:J69" si="9">ROUND(I38*H38,0)</f>
        <v>105263</v>
      </c>
      <c r="K38" s="16">
        <f>IF(COUNTIF($B$6:B38,B38)=COUNTIF($B$6:$B$162,B38),1,0)</f>
        <v>0</v>
      </c>
      <c r="L38" s="10">
        <f t="shared" ref="L38:L69" si="10">SUMIF($B$6:$B$162,B38,$J$6:$J$162)</f>
        <v>1000000</v>
      </c>
      <c r="M38" s="10">
        <f t="shared" ref="M38:M69" si="11">H38-L38</f>
        <v>0</v>
      </c>
      <c r="N38" s="10">
        <f t="shared" ref="N38:N69" si="12">IF(F38=0,0,J38+IF(K38=1,M38,0))</f>
        <v>105263</v>
      </c>
      <c r="O38" s="16" t="str">
        <f t="shared" ref="O38:O69" si="13">IF(F38=0,"POIN 0 - PERLU KEPUTUSAN MANUAL","OK")</f>
        <v>OK</v>
      </c>
    </row>
    <row r="39" spans="2:15" x14ac:dyDescent="0.3">
      <c r="B39" s="14" t="s">
        <v>87</v>
      </c>
      <c r="C39" s="14" t="s">
        <v>68</v>
      </c>
      <c r="D39" s="14" t="s">
        <v>67</v>
      </c>
      <c r="E39" s="19">
        <v>2</v>
      </c>
      <c r="F39" s="18">
        <f t="shared" si="7"/>
        <v>19</v>
      </c>
      <c r="G39" s="20" t="s">
        <v>29</v>
      </c>
      <c r="H39" s="10">
        <f>IFERROR(VLOOKUP(G39,Tarif_Plan!$B$5:$G$10,6,FALSE()),"Kelas tdk ditemukan")</f>
        <v>1000000</v>
      </c>
      <c r="I39" s="15">
        <f t="shared" si="8"/>
        <v>0.10526315789473684</v>
      </c>
      <c r="J39" s="10">
        <f t="shared" si="9"/>
        <v>105263</v>
      </c>
      <c r="K39" s="16">
        <f>IF(COUNTIF($B$6:B39,B39)=COUNTIF($B$6:$B$162,B39),1,0)</f>
        <v>0</v>
      </c>
      <c r="L39" s="10">
        <f t="shared" si="10"/>
        <v>1000000</v>
      </c>
      <c r="M39" s="10">
        <f t="shared" si="11"/>
        <v>0</v>
      </c>
      <c r="N39" s="10">
        <f t="shared" si="12"/>
        <v>105263</v>
      </c>
      <c r="O39" s="16" t="str">
        <f t="shared" si="13"/>
        <v>OK</v>
      </c>
    </row>
    <row r="40" spans="2:15" x14ac:dyDescent="0.3">
      <c r="B40" s="14" t="s">
        <v>87</v>
      </c>
      <c r="C40" s="14" t="s">
        <v>69</v>
      </c>
      <c r="D40" s="14" t="s">
        <v>70</v>
      </c>
      <c r="E40" s="19">
        <v>3</v>
      </c>
      <c r="F40" s="18">
        <f t="shared" si="7"/>
        <v>19</v>
      </c>
      <c r="G40" s="20" t="s">
        <v>29</v>
      </c>
      <c r="H40" s="10">
        <f>IFERROR(VLOOKUP(G40,Tarif_Plan!$B$5:$G$10,6,FALSE()),"Kelas tdk ditemukan")</f>
        <v>1000000</v>
      </c>
      <c r="I40" s="15">
        <f t="shared" si="8"/>
        <v>0.15789473684210525</v>
      </c>
      <c r="J40" s="10">
        <f t="shared" si="9"/>
        <v>157895</v>
      </c>
      <c r="K40" s="16">
        <f>IF(COUNTIF($B$6:B40,B40)=COUNTIF($B$6:$B$162,B40),1,0)</f>
        <v>0</v>
      </c>
      <c r="L40" s="10">
        <f t="shared" si="10"/>
        <v>1000000</v>
      </c>
      <c r="M40" s="10">
        <f t="shared" si="11"/>
        <v>0</v>
      </c>
      <c r="N40" s="10">
        <f t="shared" si="12"/>
        <v>157895</v>
      </c>
      <c r="O40" s="16" t="str">
        <f t="shared" si="13"/>
        <v>OK</v>
      </c>
    </row>
    <row r="41" spans="2:15" x14ac:dyDescent="0.3">
      <c r="B41" s="14" t="s">
        <v>87</v>
      </c>
      <c r="C41" s="14" t="s">
        <v>71</v>
      </c>
      <c r="D41" s="14" t="s">
        <v>72</v>
      </c>
      <c r="E41" s="19">
        <v>5</v>
      </c>
      <c r="F41" s="18">
        <f t="shared" si="7"/>
        <v>19</v>
      </c>
      <c r="G41" s="20" t="s">
        <v>29</v>
      </c>
      <c r="H41" s="10">
        <f>IFERROR(VLOOKUP(G41,Tarif_Plan!$B$5:$G$10,6,FALSE()),"Kelas tdk ditemukan")</f>
        <v>1000000</v>
      </c>
      <c r="I41" s="15">
        <f t="shared" si="8"/>
        <v>0.26315789473684209</v>
      </c>
      <c r="J41" s="10">
        <f t="shared" si="9"/>
        <v>263158</v>
      </c>
      <c r="K41" s="16">
        <f>IF(COUNTIF($B$6:B41,B41)=COUNTIF($B$6:$B$162,B41),1,0)</f>
        <v>0</v>
      </c>
      <c r="L41" s="10">
        <f t="shared" si="10"/>
        <v>1000000</v>
      </c>
      <c r="M41" s="10">
        <f t="shared" si="11"/>
        <v>0</v>
      </c>
      <c r="N41" s="10">
        <f t="shared" si="12"/>
        <v>263158</v>
      </c>
      <c r="O41" s="16" t="str">
        <f t="shared" si="13"/>
        <v>OK</v>
      </c>
    </row>
    <row r="42" spans="2:15" x14ac:dyDescent="0.3">
      <c r="B42" s="14" t="s">
        <v>87</v>
      </c>
      <c r="C42" s="14" t="s">
        <v>73</v>
      </c>
      <c r="D42" s="14" t="s">
        <v>72</v>
      </c>
      <c r="E42" s="19">
        <v>5</v>
      </c>
      <c r="F42" s="18">
        <f t="shared" si="7"/>
        <v>19</v>
      </c>
      <c r="G42" s="20" t="s">
        <v>29</v>
      </c>
      <c r="H42" s="10">
        <f>IFERROR(VLOOKUP(G42,Tarif_Plan!$B$5:$G$10,6,FALSE()),"Kelas tdk ditemukan")</f>
        <v>1000000</v>
      </c>
      <c r="I42" s="15">
        <f t="shared" si="8"/>
        <v>0.26315789473684209</v>
      </c>
      <c r="J42" s="10">
        <f t="shared" si="9"/>
        <v>263158</v>
      </c>
      <c r="K42" s="16">
        <f>IF(COUNTIF($B$6:B42,B42)=COUNTIF($B$6:$B$162,B42),1,0)</f>
        <v>0</v>
      </c>
      <c r="L42" s="10">
        <f t="shared" si="10"/>
        <v>1000000</v>
      </c>
      <c r="M42" s="10">
        <f t="shared" si="11"/>
        <v>0</v>
      </c>
      <c r="N42" s="10">
        <f t="shared" si="12"/>
        <v>263158</v>
      </c>
      <c r="O42" s="16" t="str">
        <f t="shared" si="13"/>
        <v>OK</v>
      </c>
    </row>
    <row r="43" spans="2:15" x14ac:dyDescent="0.3">
      <c r="B43" s="14" t="s">
        <v>87</v>
      </c>
      <c r="C43" s="14" t="s">
        <v>62</v>
      </c>
      <c r="D43" s="14" t="s">
        <v>63</v>
      </c>
      <c r="E43" s="19">
        <v>0</v>
      </c>
      <c r="F43" s="18">
        <f t="shared" si="7"/>
        <v>19</v>
      </c>
      <c r="G43" s="20" t="s">
        <v>29</v>
      </c>
      <c r="H43" s="10">
        <f>IFERROR(VLOOKUP(G43,Tarif_Plan!$B$5:$G$10,6,FALSE()),"Kelas tdk ditemukan")</f>
        <v>1000000</v>
      </c>
      <c r="I43" s="15">
        <f t="shared" si="8"/>
        <v>0</v>
      </c>
      <c r="J43" s="10">
        <f t="shared" si="9"/>
        <v>0</v>
      </c>
      <c r="K43" s="16">
        <f>IF(COUNTIF($B$6:B43,B43)=COUNTIF($B$6:$B$162,B43),1,0)</f>
        <v>1</v>
      </c>
      <c r="L43" s="10">
        <f t="shared" si="10"/>
        <v>1000000</v>
      </c>
      <c r="M43" s="10">
        <f t="shared" si="11"/>
        <v>0</v>
      </c>
      <c r="N43" s="10">
        <f t="shared" si="12"/>
        <v>0</v>
      </c>
      <c r="O43" s="16" t="str">
        <f t="shared" si="13"/>
        <v>OK</v>
      </c>
    </row>
    <row r="44" spans="2:15" x14ac:dyDescent="0.3">
      <c r="B44" s="14" t="s">
        <v>88</v>
      </c>
      <c r="C44" s="14" t="s">
        <v>77</v>
      </c>
      <c r="D44" s="14" t="s">
        <v>67</v>
      </c>
      <c r="E44" s="19">
        <v>2</v>
      </c>
      <c r="F44" s="18">
        <f t="shared" si="7"/>
        <v>23</v>
      </c>
      <c r="G44" s="20" t="s">
        <v>29</v>
      </c>
      <c r="H44" s="10">
        <f>IFERROR(VLOOKUP(G44,Tarif_Plan!$B$5:$G$10,6,FALSE()),"Kelas tdk ditemukan")</f>
        <v>1000000</v>
      </c>
      <c r="I44" s="15">
        <f t="shared" si="8"/>
        <v>8.6956521739130432E-2</v>
      </c>
      <c r="J44" s="10">
        <f t="shared" si="9"/>
        <v>86957</v>
      </c>
      <c r="K44" s="16">
        <f>IF(COUNTIF($B$6:B44,B44)=COUNTIF($B$6:$B$162,B44),1,0)</f>
        <v>0</v>
      </c>
      <c r="L44" s="10">
        <f t="shared" si="10"/>
        <v>1000002</v>
      </c>
      <c r="M44" s="10">
        <f t="shared" si="11"/>
        <v>-2</v>
      </c>
      <c r="N44" s="10">
        <f t="shared" si="12"/>
        <v>86957</v>
      </c>
      <c r="O44" s="16" t="str">
        <f t="shared" si="13"/>
        <v>OK</v>
      </c>
    </row>
    <row r="45" spans="2:15" x14ac:dyDescent="0.3">
      <c r="B45" s="14" t="s">
        <v>88</v>
      </c>
      <c r="C45" s="14" t="s">
        <v>78</v>
      </c>
      <c r="D45" s="14" t="s">
        <v>70</v>
      </c>
      <c r="E45" s="19">
        <v>4</v>
      </c>
      <c r="F45" s="18">
        <f t="shared" si="7"/>
        <v>23</v>
      </c>
      <c r="G45" s="20" t="s">
        <v>29</v>
      </c>
      <c r="H45" s="10">
        <f>IFERROR(VLOOKUP(G45,Tarif_Plan!$B$5:$G$10,6,FALSE()),"Kelas tdk ditemukan")</f>
        <v>1000000</v>
      </c>
      <c r="I45" s="15">
        <f t="shared" si="8"/>
        <v>0.17391304347826086</v>
      </c>
      <c r="J45" s="10">
        <f t="shared" si="9"/>
        <v>173913</v>
      </c>
      <c r="K45" s="16">
        <f>IF(COUNTIF($B$6:B45,B45)=COUNTIF($B$6:$B$162,B45),1,0)</f>
        <v>0</v>
      </c>
      <c r="L45" s="10">
        <f t="shared" si="10"/>
        <v>1000002</v>
      </c>
      <c r="M45" s="10">
        <f t="shared" si="11"/>
        <v>-2</v>
      </c>
      <c r="N45" s="10">
        <f t="shared" si="12"/>
        <v>173913</v>
      </c>
      <c r="O45" s="16" t="str">
        <f t="shared" si="13"/>
        <v>OK</v>
      </c>
    </row>
    <row r="46" spans="2:15" x14ac:dyDescent="0.3">
      <c r="B46" s="14" t="s">
        <v>88</v>
      </c>
      <c r="C46" s="14" t="s">
        <v>79</v>
      </c>
      <c r="D46" s="14" t="s">
        <v>70</v>
      </c>
      <c r="E46" s="19">
        <v>2</v>
      </c>
      <c r="F46" s="18">
        <f t="shared" si="7"/>
        <v>23</v>
      </c>
      <c r="G46" s="20" t="s">
        <v>29</v>
      </c>
      <c r="H46" s="10">
        <f>IFERROR(VLOOKUP(G46,Tarif_Plan!$B$5:$G$10,6,FALSE()),"Kelas tdk ditemukan")</f>
        <v>1000000</v>
      </c>
      <c r="I46" s="15">
        <f t="shared" si="8"/>
        <v>8.6956521739130432E-2</v>
      </c>
      <c r="J46" s="10">
        <f t="shared" si="9"/>
        <v>86957</v>
      </c>
      <c r="K46" s="16">
        <f>IF(COUNTIF($B$6:B46,B46)=COUNTIF($B$6:$B$162,B46),1,0)</f>
        <v>0</v>
      </c>
      <c r="L46" s="10">
        <f t="shared" si="10"/>
        <v>1000002</v>
      </c>
      <c r="M46" s="10">
        <f t="shared" si="11"/>
        <v>-2</v>
      </c>
      <c r="N46" s="10">
        <f t="shared" si="12"/>
        <v>86957</v>
      </c>
      <c r="O46" s="16" t="str">
        <f t="shared" si="13"/>
        <v>OK</v>
      </c>
    </row>
    <row r="47" spans="2:15" x14ac:dyDescent="0.3">
      <c r="B47" s="14" t="s">
        <v>88</v>
      </c>
      <c r="C47" s="14" t="s">
        <v>80</v>
      </c>
      <c r="D47" s="14" t="s">
        <v>70</v>
      </c>
      <c r="E47" s="19">
        <v>3</v>
      </c>
      <c r="F47" s="18">
        <f t="shared" si="7"/>
        <v>23</v>
      </c>
      <c r="G47" s="20" t="s">
        <v>29</v>
      </c>
      <c r="H47" s="10">
        <f>IFERROR(VLOOKUP(G47,Tarif_Plan!$B$5:$G$10,6,FALSE()),"Kelas tdk ditemukan")</f>
        <v>1000000</v>
      </c>
      <c r="I47" s="15">
        <f t="shared" si="8"/>
        <v>0.13043478260869565</v>
      </c>
      <c r="J47" s="10">
        <f t="shared" si="9"/>
        <v>130435</v>
      </c>
      <c r="K47" s="16">
        <f>IF(COUNTIF($B$6:B47,B47)=COUNTIF($B$6:$B$162,B47),1,0)</f>
        <v>0</v>
      </c>
      <c r="L47" s="10">
        <f t="shared" si="10"/>
        <v>1000002</v>
      </c>
      <c r="M47" s="10">
        <f t="shared" si="11"/>
        <v>-2</v>
      </c>
      <c r="N47" s="10">
        <f t="shared" si="12"/>
        <v>130435</v>
      </c>
      <c r="O47" s="16" t="str">
        <f t="shared" si="13"/>
        <v>OK</v>
      </c>
    </row>
    <row r="48" spans="2:15" x14ac:dyDescent="0.3">
      <c r="B48" s="14" t="s">
        <v>88</v>
      </c>
      <c r="C48" s="14" t="s">
        <v>81</v>
      </c>
      <c r="D48" s="14" t="s">
        <v>72</v>
      </c>
      <c r="E48" s="19">
        <v>6</v>
      </c>
      <c r="F48" s="18">
        <f t="shared" si="7"/>
        <v>23</v>
      </c>
      <c r="G48" s="20" t="s">
        <v>29</v>
      </c>
      <c r="H48" s="10">
        <f>IFERROR(VLOOKUP(G48,Tarif_Plan!$B$5:$G$10,6,FALSE()),"Kelas tdk ditemukan")</f>
        <v>1000000</v>
      </c>
      <c r="I48" s="15">
        <f t="shared" si="8"/>
        <v>0.2608695652173913</v>
      </c>
      <c r="J48" s="10">
        <f t="shared" si="9"/>
        <v>260870</v>
      </c>
      <c r="K48" s="16">
        <f>IF(COUNTIF($B$6:B48,B48)=COUNTIF($B$6:$B$162,B48),1,0)</f>
        <v>0</v>
      </c>
      <c r="L48" s="10">
        <f t="shared" si="10"/>
        <v>1000002</v>
      </c>
      <c r="M48" s="10">
        <f t="shared" si="11"/>
        <v>-2</v>
      </c>
      <c r="N48" s="10">
        <f t="shared" si="12"/>
        <v>260870</v>
      </c>
      <c r="O48" s="16" t="str">
        <f t="shared" si="13"/>
        <v>OK</v>
      </c>
    </row>
    <row r="49" spans="2:15" x14ac:dyDescent="0.3">
      <c r="B49" s="14" t="s">
        <v>88</v>
      </c>
      <c r="C49" s="14" t="s">
        <v>82</v>
      </c>
      <c r="D49" s="14" t="s">
        <v>72</v>
      </c>
      <c r="E49" s="19">
        <v>6</v>
      </c>
      <c r="F49" s="18">
        <f t="shared" si="7"/>
        <v>23</v>
      </c>
      <c r="G49" s="20" t="s">
        <v>29</v>
      </c>
      <c r="H49" s="10">
        <f>IFERROR(VLOOKUP(G49,Tarif_Plan!$B$5:$G$10,6,FALSE()),"Kelas tdk ditemukan")</f>
        <v>1000000</v>
      </c>
      <c r="I49" s="15">
        <f t="shared" si="8"/>
        <v>0.2608695652173913</v>
      </c>
      <c r="J49" s="10">
        <f t="shared" si="9"/>
        <v>260870</v>
      </c>
      <c r="K49" s="16">
        <f>IF(COUNTIF($B$6:B49,B49)=COUNTIF($B$6:$B$162,B49),1,0)</f>
        <v>1</v>
      </c>
      <c r="L49" s="10">
        <f t="shared" si="10"/>
        <v>1000002</v>
      </c>
      <c r="M49" s="10">
        <f t="shared" si="11"/>
        <v>-2</v>
      </c>
      <c r="N49" s="10">
        <f t="shared" si="12"/>
        <v>260868</v>
      </c>
      <c r="O49" s="16" t="str">
        <f t="shared" si="13"/>
        <v>OK</v>
      </c>
    </row>
    <row r="50" spans="2:15" x14ac:dyDescent="0.3">
      <c r="B50" s="14" t="s">
        <v>89</v>
      </c>
      <c r="C50" s="14" t="s">
        <v>76</v>
      </c>
      <c r="D50" s="14" t="s">
        <v>63</v>
      </c>
      <c r="E50" s="19">
        <v>0</v>
      </c>
      <c r="F50" s="18">
        <f t="shared" si="7"/>
        <v>21</v>
      </c>
      <c r="G50" s="20" t="s">
        <v>29</v>
      </c>
      <c r="H50" s="10">
        <f>IFERROR(VLOOKUP(G50,Tarif_Plan!$B$5:$G$10,6,FALSE()),"Kelas tdk ditemukan")</f>
        <v>1000000</v>
      </c>
      <c r="I50" s="15">
        <f t="shared" si="8"/>
        <v>0</v>
      </c>
      <c r="J50" s="10">
        <f t="shared" si="9"/>
        <v>0</v>
      </c>
      <c r="K50" s="16">
        <f>IF(COUNTIF($B$6:B50,B50)=COUNTIF($B$6:$B$162,B50),1,0)</f>
        <v>0</v>
      </c>
      <c r="L50" s="10">
        <f t="shared" si="10"/>
        <v>999999</v>
      </c>
      <c r="M50" s="10">
        <f t="shared" si="11"/>
        <v>1</v>
      </c>
      <c r="N50" s="10">
        <f t="shared" si="12"/>
        <v>0</v>
      </c>
      <c r="O50" s="16" t="str">
        <f t="shared" si="13"/>
        <v>OK</v>
      </c>
    </row>
    <row r="51" spans="2:15" x14ac:dyDescent="0.3">
      <c r="B51" s="14" t="s">
        <v>89</v>
      </c>
      <c r="C51" s="14" t="s">
        <v>64</v>
      </c>
      <c r="D51" s="14" t="s">
        <v>65</v>
      </c>
      <c r="E51" s="19">
        <v>1</v>
      </c>
      <c r="F51" s="18">
        <f t="shared" si="7"/>
        <v>21</v>
      </c>
      <c r="G51" s="20" t="s">
        <v>29</v>
      </c>
      <c r="H51" s="10">
        <f>IFERROR(VLOOKUP(G51,Tarif_Plan!$B$5:$G$10,6,FALSE()),"Kelas tdk ditemukan")</f>
        <v>1000000</v>
      </c>
      <c r="I51" s="15">
        <f t="shared" si="8"/>
        <v>4.7619047619047616E-2</v>
      </c>
      <c r="J51" s="10">
        <f t="shared" si="9"/>
        <v>47619</v>
      </c>
      <c r="K51" s="16">
        <f>IF(COUNTIF($B$6:B51,B51)=COUNTIF($B$6:$B$162,B51),1,0)</f>
        <v>0</v>
      </c>
      <c r="L51" s="10">
        <f t="shared" si="10"/>
        <v>999999</v>
      </c>
      <c r="M51" s="10">
        <f t="shared" si="11"/>
        <v>1</v>
      </c>
      <c r="N51" s="10">
        <f t="shared" si="12"/>
        <v>47619</v>
      </c>
      <c r="O51" s="16" t="str">
        <f t="shared" si="13"/>
        <v>OK</v>
      </c>
    </row>
    <row r="52" spans="2:15" x14ac:dyDescent="0.3">
      <c r="B52" s="14" t="s">
        <v>89</v>
      </c>
      <c r="C52" s="14" t="s">
        <v>84</v>
      </c>
      <c r="D52" s="14" t="s">
        <v>65</v>
      </c>
      <c r="E52" s="19">
        <v>3</v>
      </c>
      <c r="F52" s="18">
        <f t="shared" si="7"/>
        <v>21</v>
      </c>
      <c r="G52" s="20" t="s">
        <v>29</v>
      </c>
      <c r="H52" s="10">
        <f>IFERROR(VLOOKUP(G52,Tarif_Plan!$B$5:$G$10,6,FALSE()),"Kelas tdk ditemukan")</f>
        <v>1000000</v>
      </c>
      <c r="I52" s="15">
        <f t="shared" si="8"/>
        <v>0.14285714285714285</v>
      </c>
      <c r="J52" s="10">
        <f t="shared" si="9"/>
        <v>142857</v>
      </c>
      <c r="K52" s="16">
        <f>IF(COUNTIF($B$6:B52,B52)=COUNTIF($B$6:$B$162,B52),1,0)</f>
        <v>0</v>
      </c>
      <c r="L52" s="10">
        <f t="shared" si="10"/>
        <v>999999</v>
      </c>
      <c r="M52" s="10">
        <f t="shared" si="11"/>
        <v>1</v>
      </c>
      <c r="N52" s="10">
        <f t="shared" si="12"/>
        <v>142857</v>
      </c>
      <c r="O52" s="16" t="str">
        <f t="shared" si="13"/>
        <v>OK</v>
      </c>
    </row>
    <row r="53" spans="2:15" x14ac:dyDescent="0.3">
      <c r="B53" s="14" t="s">
        <v>89</v>
      </c>
      <c r="C53" s="14" t="s">
        <v>90</v>
      </c>
      <c r="D53" s="14" t="s">
        <v>67</v>
      </c>
      <c r="E53" s="19">
        <v>5</v>
      </c>
      <c r="F53" s="18">
        <f t="shared" si="7"/>
        <v>21</v>
      </c>
      <c r="G53" s="20" t="s">
        <v>29</v>
      </c>
      <c r="H53" s="10">
        <f>IFERROR(VLOOKUP(G53,Tarif_Plan!$B$5:$G$10,6,FALSE()),"Kelas tdk ditemukan")</f>
        <v>1000000</v>
      </c>
      <c r="I53" s="15">
        <f t="shared" si="8"/>
        <v>0.23809523809523808</v>
      </c>
      <c r="J53" s="10">
        <f t="shared" si="9"/>
        <v>238095</v>
      </c>
      <c r="K53" s="16">
        <f>IF(COUNTIF($B$6:B53,B53)=COUNTIF($B$6:$B$162,B53),1,0)</f>
        <v>0</v>
      </c>
      <c r="L53" s="10">
        <f t="shared" si="10"/>
        <v>999999</v>
      </c>
      <c r="M53" s="10">
        <f t="shared" si="11"/>
        <v>1</v>
      </c>
      <c r="N53" s="10">
        <f t="shared" si="12"/>
        <v>238095</v>
      </c>
      <c r="O53" s="16" t="str">
        <f t="shared" si="13"/>
        <v>OK</v>
      </c>
    </row>
    <row r="54" spans="2:15" x14ac:dyDescent="0.3">
      <c r="B54" s="14" t="s">
        <v>89</v>
      </c>
      <c r="C54" s="14" t="s">
        <v>91</v>
      </c>
      <c r="D54" s="14" t="s">
        <v>67</v>
      </c>
      <c r="E54" s="19">
        <v>3</v>
      </c>
      <c r="F54" s="18">
        <f t="shared" si="7"/>
        <v>21</v>
      </c>
      <c r="G54" s="20" t="s">
        <v>29</v>
      </c>
      <c r="H54" s="10">
        <f>IFERROR(VLOOKUP(G54,Tarif_Plan!$B$5:$G$10,6,FALSE()),"Kelas tdk ditemukan")</f>
        <v>1000000</v>
      </c>
      <c r="I54" s="15">
        <f t="shared" si="8"/>
        <v>0.14285714285714285</v>
      </c>
      <c r="J54" s="10">
        <f t="shared" si="9"/>
        <v>142857</v>
      </c>
      <c r="K54" s="16">
        <f>IF(COUNTIF($B$6:B54,B54)=COUNTIF($B$6:$B$162,B54),1,0)</f>
        <v>0</v>
      </c>
      <c r="L54" s="10">
        <f t="shared" si="10"/>
        <v>999999</v>
      </c>
      <c r="M54" s="10">
        <f t="shared" si="11"/>
        <v>1</v>
      </c>
      <c r="N54" s="10">
        <f t="shared" si="12"/>
        <v>142857</v>
      </c>
      <c r="O54" s="16" t="str">
        <f t="shared" si="13"/>
        <v>OK</v>
      </c>
    </row>
    <row r="55" spans="2:15" x14ac:dyDescent="0.3">
      <c r="B55" s="14" t="s">
        <v>89</v>
      </c>
      <c r="C55" s="14" t="s">
        <v>92</v>
      </c>
      <c r="D55" s="14" t="s">
        <v>70</v>
      </c>
      <c r="E55" s="19">
        <v>4</v>
      </c>
      <c r="F55" s="18">
        <f t="shared" si="7"/>
        <v>21</v>
      </c>
      <c r="G55" s="20" t="s">
        <v>29</v>
      </c>
      <c r="H55" s="10">
        <f>IFERROR(VLOOKUP(G55,Tarif_Plan!$B$5:$G$10,6,FALSE()),"Kelas tdk ditemukan")</f>
        <v>1000000</v>
      </c>
      <c r="I55" s="15">
        <f t="shared" si="8"/>
        <v>0.19047619047619047</v>
      </c>
      <c r="J55" s="10">
        <f t="shared" si="9"/>
        <v>190476</v>
      </c>
      <c r="K55" s="16">
        <f>IF(COUNTIF($B$6:B55,B55)=COUNTIF($B$6:$B$162,B55),1,0)</f>
        <v>0</v>
      </c>
      <c r="L55" s="10">
        <f t="shared" si="10"/>
        <v>999999</v>
      </c>
      <c r="M55" s="10">
        <f t="shared" si="11"/>
        <v>1</v>
      </c>
      <c r="N55" s="10">
        <f t="shared" si="12"/>
        <v>190476</v>
      </c>
      <c r="O55" s="16" t="str">
        <f t="shared" si="13"/>
        <v>OK</v>
      </c>
    </row>
    <row r="56" spans="2:15" x14ac:dyDescent="0.3">
      <c r="B56" s="14" t="s">
        <v>89</v>
      </c>
      <c r="C56" s="14" t="s">
        <v>93</v>
      </c>
      <c r="D56" s="14" t="s">
        <v>72</v>
      </c>
      <c r="E56" s="19">
        <v>5</v>
      </c>
      <c r="F56" s="18">
        <f t="shared" si="7"/>
        <v>21</v>
      </c>
      <c r="G56" s="20" t="s">
        <v>29</v>
      </c>
      <c r="H56" s="10">
        <f>IFERROR(VLOOKUP(G56,Tarif_Plan!$B$5:$G$10,6,FALSE()),"Kelas tdk ditemukan")</f>
        <v>1000000</v>
      </c>
      <c r="I56" s="15">
        <f t="shared" si="8"/>
        <v>0.23809523809523808</v>
      </c>
      <c r="J56" s="10">
        <f t="shared" si="9"/>
        <v>238095</v>
      </c>
      <c r="K56" s="16">
        <f>IF(COUNTIF($B$6:B56,B56)=COUNTIF($B$6:$B$162,B56),1,0)</f>
        <v>0</v>
      </c>
      <c r="L56" s="10">
        <f t="shared" si="10"/>
        <v>999999</v>
      </c>
      <c r="M56" s="10">
        <f t="shared" si="11"/>
        <v>1</v>
      </c>
      <c r="N56" s="10">
        <f t="shared" si="12"/>
        <v>238095</v>
      </c>
      <c r="O56" s="16" t="str">
        <f t="shared" si="13"/>
        <v>OK</v>
      </c>
    </row>
    <row r="57" spans="2:15" x14ac:dyDescent="0.3">
      <c r="B57" s="14" t="s">
        <v>89</v>
      </c>
      <c r="C57" s="14" t="s">
        <v>76</v>
      </c>
      <c r="D57" s="14" t="s">
        <v>63</v>
      </c>
      <c r="E57" s="19">
        <v>0</v>
      </c>
      <c r="F57" s="18">
        <f t="shared" si="7"/>
        <v>21</v>
      </c>
      <c r="G57" s="20" t="s">
        <v>29</v>
      </c>
      <c r="H57" s="10">
        <f>IFERROR(VLOOKUP(G57,Tarif_Plan!$B$5:$G$10,6,FALSE()),"Kelas tdk ditemukan")</f>
        <v>1000000</v>
      </c>
      <c r="I57" s="15">
        <f t="shared" si="8"/>
        <v>0</v>
      </c>
      <c r="J57" s="10">
        <f t="shared" si="9"/>
        <v>0</v>
      </c>
      <c r="K57" s="16">
        <f>IF(COUNTIF($B$6:B57,B57)=COUNTIF($B$6:$B$162,B57),1,0)</f>
        <v>1</v>
      </c>
      <c r="L57" s="10">
        <f t="shared" si="10"/>
        <v>999999</v>
      </c>
      <c r="M57" s="10">
        <f t="shared" si="11"/>
        <v>1</v>
      </c>
      <c r="N57" s="10">
        <f t="shared" si="12"/>
        <v>1</v>
      </c>
      <c r="O57" s="16" t="str">
        <f t="shared" si="13"/>
        <v>OK</v>
      </c>
    </row>
    <row r="58" spans="2:15" x14ac:dyDescent="0.3">
      <c r="B58" s="14" t="s">
        <v>94</v>
      </c>
      <c r="C58" s="14" t="s">
        <v>86</v>
      </c>
      <c r="D58" s="14" t="s">
        <v>63</v>
      </c>
      <c r="E58" s="19">
        <v>0</v>
      </c>
      <c r="F58" s="18">
        <f t="shared" si="7"/>
        <v>35</v>
      </c>
      <c r="G58" s="20" t="s">
        <v>29</v>
      </c>
      <c r="H58" s="10">
        <f>IFERROR(VLOOKUP(G58,Tarif_Plan!$B$5:$G$10,6,FALSE()),"Kelas tdk ditemukan")</f>
        <v>1000000</v>
      </c>
      <c r="I58" s="15">
        <f t="shared" si="8"/>
        <v>0</v>
      </c>
      <c r="J58" s="10">
        <f t="shared" si="9"/>
        <v>0</v>
      </c>
      <c r="K58" s="16">
        <f>IF(COUNTIF($B$6:B58,B58)=COUNTIF($B$6:$B$162,B58),1,0)</f>
        <v>0</v>
      </c>
      <c r="L58" s="10">
        <f t="shared" si="10"/>
        <v>999999</v>
      </c>
      <c r="M58" s="10">
        <f t="shared" si="11"/>
        <v>1</v>
      </c>
      <c r="N58" s="10">
        <f t="shared" si="12"/>
        <v>0</v>
      </c>
      <c r="O58" s="16" t="str">
        <f t="shared" si="13"/>
        <v>OK</v>
      </c>
    </row>
    <row r="59" spans="2:15" x14ac:dyDescent="0.3">
      <c r="B59" s="14" t="s">
        <v>94</v>
      </c>
      <c r="C59" s="14" t="s">
        <v>95</v>
      </c>
      <c r="D59" s="14" t="s">
        <v>65</v>
      </c>
      <c r="E59" s="19">
        <v>2</v>
      </c>
      <c r="F59" s="18">
        <f t="shared" si="7"/>
        <v>35</v>
      </c>
      <c r="G59" s="20" t="s">
        <v>29</v>
      </c>
      <c r="H59" s="10">
        <f>IFERROR(VLOOKUP(G59,Tarif_Plan!$B$5:$G$10,6,FALSE()),"Kelas tdk ditemukan")</f>
        <v>1000000</v>
      </c>
      <c r="I59" s="15">
        <f t="shared" si="8"/>
        <v>5.7142857142857141E-2</v>
      </c>
      <c r="J59" s="10">
        <f t="shared" si="9"/>
        <v>57143</v>
      </c>
      <c r="K59" s="16">
        <f>IF(COUNTIF($B$6:B59,B59)=COUNTIF($B$6:$B$162,B59),1,0)</f>
        <v>0</v>
      </c>
      <c r="L59" s="10">
        <f t="shared" si="10"/>
        <v>999999</v>
      </c>
      <c r="M59" s="10">
        <f t="shared" si="11"/>
        <v>1</v>
      </c>
      <c r="N59" s="10">
        <f t="shared" si="12"/>
        <v>57143</v>
      </c>
      <c r="O59" s="16" t="str">
        <f t="shared" si="13"/>
        <v>OK</v>
      </c>
    </row>
    <row r="60" spans="2:15" x14ac:dyDescent="0.3">
      <c r="B60" s="14" t="s">
        <v>94</v>
      </c>
      <c r="C60" s="14" t="s">
        <v>84</v>
      </c>
      <c r="D60" s="14" t="s">
        <v>65</v>
      </c>
      <c r="E60" s="19">
        <v>2</v>
      </c>
      <c r="F60" s="18">
        <f t="shared" si="7"/>
        <v>35</v>
      </c>
      <c r="G60" s="20" t="s">
        <v>29</v>
      </c>
      <c r="H60" s="10">
        <f>IFERROR(VLOOKUP(G60,Tarif_Plan!$B$5:$G$10,6,FALSE()),"Kelas tdk ditemukan")</f>
        <v>1000000</v>
      </c>
      <c r="I60" s="15">
        <f t="shared" si="8"/>
        <v>5.7142857142857141E-2</v>
      </c>
      <c r="J60" s="10">
        <f t="shared" si="9"/>
        <v>57143</v>
      </c>
      <c r="K60" s="16">
        <f>IF(COUNTIF($B$6:B60,B60)=COUNTIF($B$6:$B$162,B60),1,0)</f>
        <v>0</v>
      </c>
      <c r="L60" s="10">
        <f t="shared" si="10"/>
        <v>999999</v>
      </c>
      <c r="M60" s="10">
        <f t="shared" si="11"/>
        <v>1</v>
      </c>
      <c r="N60" s="10">
        <f t="shared" si="12"/>
        <v>57143</v>
      </c>
      <c r="O60" s="16" t="str">
        <f t="shared" si="13"/>
        <v>OK</v>
      </c>
    </row>
    <row r="61" spans="2:15" x14ac:dyDescent="0.3">
      <c r="B61" s="14" t="s">
        <v>94</v>
      </c>
      <c r="C61" s="14" t="s">
        <v>66</v>
      </c>
      <c r="D61" s="14" t="s">
        <v>67</v>
      </c>
      <c r="E61" s="19">
        <v>3</v>
      </c>
      <c r="F61" s="18">
        <f t="shared" si="7"/>
        <v>35</v>
      </c>
      <c r="G61" s="20" t="s">
        <v>29</v>
      </c>
      <c r="H61" s="10">
        <f>IFERROR(VLOOKUP(G61,Tarif_Plan!$B$5:$G$10,6,FALSE()),"Kelas tdk ditemukan")</f>
        <v>1000000</v>
      </c>
      <c r="I61" s="15">
        <f t="shared" si="8"/>
        <v>8.5714285714285715E-2</v>
      </c>
      <c r="J61" s="10">
        <f t="shared" si="9"/>
        <v>85714</v>
      </c>
      <c r="K61" s="16">
        <f>IF(COUNTIF($B$6:B61,B61)=COUNTIF($B$6:$B$162,B61),1,0)</f>
        <v>0</v>
      </c>
      <c r="L61" s="10">
        <f t="shared" si="10"/>
        <v>999999</v>
      </c>
      <c r="M61" s="10">
        <f t="shared" si="11"/>
        <v>1</v>
      </c>
      <c r="N61" s="10">
        <f t="shared" si="12"/>
        <v>85714</v>
      </c>
      <c r="O61" s="16" t="str">
        <f t="shared" si="13"/>
        <v>OK</v>
      </c>
    </row>
    <row r="62" spans="2:15" x14ac:dyDescent="0.3">
      <c r="B62" s="14" t="s">
        <v>94</v>
      </c>
      <c r="C62" s="14" t="s">
        <v>68</v>
      </c>
      <c r="D62" s="14" t="s">
        <v>67</v>
      </c>
      <c r="E62" s="19">
        <v>5</v>
      </c>
      <c r="F62" s="18">
        <f t="shared" si="7"/>
        <v>35</v>
      </c>
      <c r="G62" s="20" t="s">
        <v>29</v>
      </c>
      <c r="H62" s="10">
        <f>IFERROR(VLOOKUP(G62,Tarif_Plan!$B$5:$G$10,6,FALSE()),"Kelas tdk ditemukan")</f>
        <v>1000000</v>
      </c>
      <c r="I62" s="15">
        <f t="shared" si="8"/>
        <v>0.14285714285714285</v>
      </c>
      <c r="J62" s="10">
        <f t="shared" si="9"/>
        <v>142857</v>
      </c>
      <c r="K62" s="16">
        <f>IF(COUNTIF($B$6:B62,B62)=COUNTIF($B$6:$B$162,B62),1,0)</f>
        <v>0</v>
      </c>
      <c r="L62" s="10">
        <f t="shared" si="10"/>
        <v>999999</v>
      </c>
      <c r="M62" s="10">
        <f t="shared" si="11"/>
        <v>1</v>
      </c>
      <c r="N62" s="10">
        <f t="shared" si="12"/>
        <v>142857</v>
      </c>
      <c r="O62" s="16" t="str">
        <f t="shared" si="13"/>
        <v>OK</v>
      </c>
    </row>
    <row r="63" spans="2:15" x14ac:dyDescent="0.3">
      <c r="B63" s="14" t="s">
        <v>94</v>
      </c>
      <c r="C63" s="14" t="s">
        <v>69</v>
      </c>
      <c r="D63" s="14" t="s">
        <v>70</v>
      </c>
      <c r="E63" s="19">
        <v>8</v>
      </c>
      <c r="F63" s="18">
        <f t="shared" si="7"/>
        <v>35</v>
      </c>
      <c r="G63" s="20" t="s">
        <v>29</v>
      </c>
      <c r="H63" s="10">
        <f>IFERROR(VLOOKUP(G63,Tarif_Plan!$B$5:$G$10,6,FALSE()),"Kelas tdk ditemukan")</f>
        <v>1000000</v>
      </c>
      <c r="I63" s="15">
        <f t="shared" si="8"/>
        <v>0.22857142857142856</v>
      </c>
      <c r="J63" s="10">
        <f t="shared" si="9"/>
        <v>228571</v>
      </c>
      <c r="K63" s="16">
        <f>IF(COUNTIF($B$6:B63,B63)=COUNTIF($B$6:$B$162,B63),1,0)</f>
        <v>0</v>
      </c>
      <c r="L63" s="10">
        <f t="shared" si="10"/>
        <v>999999</v>
      </c>
      <c r="M63" s="10">
        <f t="shared" si="11"/>
        <v>1</v>
      </c>
      <c r="N63" s="10">
        <f t="shared" si="12"/>
        <v>228571</v>
      </c>
      <c r="O63" s="16" t="str">
        <f t="shared" si="13"/>
        <v>OK</v>
      </c>
    </row>
    <row r="64" spans="2:15" x14ac:dyDescent="0.3">
      <c r="B64" s="14" t="s">
        <v>94</v>
      </c>
      <c r="C64" s="14" t="s">
        <v>71</v>
      </c>
      <c r="D64" s="14" t="s">
        <v>72</v>
      </c>
      <c r="E64" s="19">
        <v>8</v>
      </c>
      <c r="F64" s="18">
        <f t="shared" si="7"/>
        <v>35</v>
      </c>
      <c r="G64" s="20" t="s">
        <v>29</v>
      </c>
      <c r="H64" s="10">
        <f>IFERROR(VLOOKUP(G64,Tarif_Plan!$B$5:$G$10,6,FALSE()),"Kelas tdk ditemukan")</f>
        <v>1000000</v>
      </c>
      <c r="I64" s="15">
        <f t="shared" si="8"/>
        <v>0.22857142857142856</v>
      </c>
      <c r="J64" s="10">
        <f t="shared" si="9"/>
        <v>228571</v>
      </c>
      <c r="K64" s="16">
        <f>IF(COUNTIF($B$6:B64,B64)=COUNTIF($B$6:$B$162,B64),1,0)</f>
        <v>0</v>
      </c>
      <c r="L64" s="10">
        <f t="shared" si="10"/>
        <v>999999</v>
      </c>
      <c r="M64" s="10">
        <f t="shared" si="11"/>
        <v>1</v>
      </c>
      <c r="N64" s="10">
        <f t="shared" si="12"/>
        <v>228571</v>
      </c>
      <c r="O64" s="16" t="str">
        <f t="shared" si="13"/>
        <v>OK</v>
      </c>
    </row>
    <row r="65" spans="2:15" x14ac:dyDescent="0.3">
      <c r="B65" s="14" t="s">
        <v>94</v>
      </c>
      <c r="C65" s="14" t="s">
        <v>73</v>
      </c>
      <c r="D65" s="14" t="s">
        <v>72</v>
      </c>
      <c r="E65" s="19">
        <v>4</v>
      </c>
      <c r="F65" s="18">
        <f t="shared" si="7"/>
        <v>35</v>
      </c>
      <c r="G65" s="20" t="s">
        <v>29</v>
      </c>
      <c r="H65" s="10">
        <f>IFERROR(VLOOKUP(G65,Tarif_Plan!$B$5:$G$10,6,FALSE()),"Kelas tdk ditemukan")</f>
        <v>1000000</v>
      </c>
      <c r="I65" s="15">
        <f t="shared" si="8"/>
        <v>0.11428571428571428</v>
      </c>
      <c r="J65" s="10">
        <f t="shared" si="9"/>
        <v>114286</v>
      </c>
      <c r="K65" s="16">
        <f>IF(COUNTIF($B$6:B65,B65)=COUNTIF($B$6:$B$162,B65),1,0)</f>
        <v>0</v>
      </c>
      <c r="L65" s="10">
        <f t="shared" si="10"/>
        <v>999999</v>
      </c>
      <c r="M65" s="10">
        <f t="shared" si="11"/>
        <v>1</v>
      </c>
      <c r="N65" s="10">
        <f t="shared" si="12"/>
        <v>114286</v>
      </c>
      <c r="O65" s="16" t="str">
        <f t="shared" si="13"/>
        <v>OK</v>
      </c>
    </row>
    <row r="66" spans="2:15" x14ac:dyDescent="0.3">
      <c r="B66" s="14" t="s">
        <v>94</v>
      </c>
      <c r="C66" s="14" t="s">
        <v>86</v>
      </c>
      <c r="D66" s="14" t="s">
        <v>63</v>
      </c>
      <c r="E66" s="19">
        <v>0</v>
      </c>
      <c r="F66" s="18">
        <f t="shared" si="7"/>
        <v>35</v>
      </c>
      <c r="G66" s="20" t="s">
        <v>29</v>
      </c>
      <c r="H66" s="10">
        <f>IFERROR(VLOOKUP(G66,Tarif_Plan!$B$5:$G$10,6,FALSE()),"Kelas tdk ditemukan")</f>
        <v>1000000</v>
      </c>
      <c r="I66" s="15">
        <f t="shared" si="8"/>
        <v>0</v>
      </c>
      <c r="J66" s="10">
        <f t="shared" si="9"/>
        <v>0</v>
      </c>
      <c r="K66" s="16">
        <f>IF(COUNTIF($B$6:B66,B66)=COUNTIF($B$6:$B$162,B66),1,0)</f>
        <v>0</v>
      </c>
      <c r="L66" s="10">
        <f t="shared" si="10"/>
        <v>999999</v>
      </c>
      <c r="M66" s="10">
        <f t="shared" si="11"/>
        <v>1</v>
      </c>
      <c r="N66" s="10">
        <f t="shared" si="12"/>
        <v>0</v>
      </c>
      <c r="O66" s="16" t="str">
        <f t="shared" si="13"/>
        <v>OK</v>
      </c>
    </row>
    <row r="67" spans="2:15" x14ac:dyDescent="0.3">
      <c r="B67" s="14" t="s">
        <v>94</v>
      </c>
      <c r="C67" s="14" t="s">
        <v>96</v>
      </c>
      <c r="D67" s="14"/>
      <c r="E67" s="19">
        <v>1</v>
      </c>
      <c r="F67" s="18">
        <f t="shared" si="7"/>
        <v>35</v>
      </c>
      <c r="G67" s="20" t="s">
        <v>29</v>
      </c>
      <c r="H67" s="10">
        <f>IFERROR(VLOOKUP(G67,Tarif_Plan!$B$5:$G$10,6,FALSE()),"Kelas tdk ditemukan")</f>
        <v>1000000</v>
      </c>
      <c r="I67" s="15">
        <f t="shared" si="8"/>
        <v>2.8571428571428571E-2</v>
      </c>
      <c r="J67" s="10">
        <f t="shared" si="9"/>
        <v>28571</v>
      </c>
      <c r="K67" s="16">
        <f>IF(COUNTIF($B$6:B67,B67)=COUNTIF($B$6:$B$162,B67),1,0)</f>
        <v>0</v>
      </c>
      <c r="L67" s="10">
        <f t="shared" si="10"/>
        <v>999999</v>
      </c>
      <c r="M67" s="10">
        <f t="shared" si="11"/>
        <v>1</v>
      </c>
      <c r="N67" s="10">
        <f t="shared" si="12"/>
        <v>28571</v>
      </c>
      <c r="O67" s="16" t="str">
        <f t="shared" si="13"/>
        <v>OK</v>
      </c>
    </row>
    <row r="68" spans="2:15" x14ac:dyDescent="0.3">
      <c r="B68" s="14" t="s">
        <v>94</v>
      </c>
      <c r="C68" s="14" t="s">
        <v>97</v>
      </c>
      <c r="D68" s="14"/>
      <c r="E68" s="19">
        <v>2</v>
      </c>
      <c r="F68" s="18">
        <f t="shared" si="7"/>
        <v>35</v>
      </c>
      <c r="G68" s="20" t="s">
        <v>29</v>
      </c>
      <c r="H68" s="10">
        <f>IFERROR(VLOOKUP(G68,Tarif_Plan!$B$5:$G$10,6,FALSE()),"Kelas tdk ditemukan")</f>
        <v>1000000</v>
      </c>
      <c r="I68" s="15">
        <f t="shared" si="8"/>
        <v>5.7142857142857141E-2</v>
      </c>
      <c r="J68" s="10">
        <f t="shared" si="9"/>
        <v>57143</v>
      </c>
      <c r="K68" s="16">
        <f>IF(COUNTIF($B$6:B68,B68)=COUNTIF($B$6:$B$162,B68),1,0)</f>
        <v>1</v>
      </c>
      <c r="L68" s="10">
        <f t="shared" si="10"/>
        <v>999999</v>
      </c>
      <c r="M68" s="10">
        <f t="shared" si="11"/>
        <v>1</v>
      </c>
      <c r="N68" s="10">
        <f t="shared" si="12"/>
        <v>57144</v>
      </c>
      <c r="O68" s="16" t="str">
        <f t="shared" si="13"/>
        <v>OK</v>
      </c>
    </row>
    <row r="69" spans="2:15" x14ac:dyDescent="0.3">
      <c r="B69" s="14" t="s">
        <v>98</v>
      </c>
      <c r="C69" s="14" t="s">
        <v>62</v>
      </c>
      <c r="D69" s="14" t="s">
        <v>63</v>
      </c>
      <c r="E69" s="19">
        <v>0</v>
      </c>
      <c r="F69" s="18">
        <f t="shared" si="7"/>
        <v>22</v>
      </c>
      <c r="G69" s="20" t="s">
        <v>29</v>
      </c>
      <c r="H69" s="10">
        <f>IFERROR(VLOOKUP(G69,Tarif_Plan!$B$5:$G$10,6,FALSE()),"Kelas tdk ditemukan")</f>
        <v>1000000</v>
      </c>
      <c r="I69" s="15">
        <f t="shared" si="8"/>
        <v>0</v>
      </c>
      <c r="J69" s="10">
        <f t="shared" si="9"/>
        <v>0</v>
      </c>
      <c r="K69" s="16">
        <f>IF(COUNTIF($B$6:B69,B69)=COUNTIF($B$6:$B$162,B69),1,0)</f>
        <v>0</v>
      </c>
      <c r="L69" s="10">
        <f t="shared" si="10"/>
        <v>1000000</v>
      </c>
      <c r="M69" s="10">
        <f t="shared" si="11"/>
        <v>0</v>
      </c>
      <c r="N69" s="10">
        <f t="shared" si="12"/>
        <v>0</v>
      </c>
      <c r="O69" s="16" t="str">
        <f t="shared" si="13"/>
        <v>OK</v>
      </c>
    </row>
    <row r="70" spans="2:15" x14ac:dyDescent="0.3">
      <c r="B70" s="14" t="s">
        <v>98</v>
      </c>
      <c r="C70" s="14" t="s">
        <v>77</v>
      </c>
      <c r="D70" s="14" t="s">
        <v>67</v>
      </c>
      <c r="E70" s="19">
        <v>3</v>
      </c>
      <c r="F70" s="18">
        <f t="shared" ref="F70:F101" si="14">SUMIF($B$6:$B$162,B70,$E$6:$E$162)</f>
        <v>22</v>
      </c>
      <c r="G70" s="20" t="s">
        <v>29</v>
      </c>
      <c r="H70" s="10">
        <f>IFERROR(VLOOKUP(G70,Tarif_Plan!$B$5:$G$10,6,FALSE()),"Kelas tdk ditemukan")</f>
        <v>1000000</v>
      </c>
      <c r="I70" s="15">
        <f t="shared" ref="I70:I101" si="15">IF(F70=0,0,E70/F70)</f>
        <v>0.13636363636363635</v>
      </c>
      <c r="J70" s="10">
        <f t="shared" ref="J70:J101" si="16">ROUND(I70*H70,0)</f>
        <v>136364</v>
      </c>
      <c r="K70" s="16">
        <f>IF(COUNTIF($B$6:B70,B70)=COUNTIF($B$6:$B$162,B70),1,0)</f>
        <v>0</v>
      </c>
      <c r="L70" s="10">
        <f t="shared" ref="L70:L101" si="17">SUMIF($B$6:$B$162,B70,$J$6:$J$162)</f>
        <v>1000000</v>
      </c>
      <c r="M70" s="10">
        <f t="shared" ref="M70:M101" si="18">H70-L70</f>
        <v>0</v>
      </c>
      <c r="N70" s="10">
        <f t="shared" ref="N70:N101" si="19">IF(F70=0,0,J70+IF(K70=1,M70,0))</f>
        <v>136364</v>
      </c>
      <c r="O70" s="16" t="str">
        <f t="shared" ref="O70:O101" si="20">IF(F70=0,"POIN 0 - PERLU KEPUTUSAN MANUAL","OK")</f>
        <v>OK</v>
      </c>
    </row>
    <row r="71" spans="2:15" x14ac:dyDescent="0.3">
      <c r="B71" s="14" t="s">
        <v>98</v>
      </c>
      <c r="C71" s="14" t="s">
        <v>78</v>
      </c>
      <c r="D71" s="14" t="s">
        <v>70</v>
      </c>
      <c r="E71" s="19">
        <v>4</v>
      </c>
      <c r="F71" s="18">
        <f t="shared" si="14"/>
        <v>22</v>
      </c>
      <c r="G71" s="20" t="s">
        <v>29</v>
      </c>
      <c r="H71" s="10">
        <f>IFERROR(VLOOKUP(G71,Tarif_Plan!$B$5:$G$10,6,FALSE()),"Kelas tdk ditemukan")</f>
        <v>1000000</v>
      </c>
      <c r="I71" s="15">
        <f t="shared" si="15"/>
        <v>0.18181818181818182</v>
      </c>
      <c r="J71" s="10">
        <f t="shared" si="16"/>
        <v>181818</v>
      </c>
      <c r="K71" s="16">
        <f>IF(COUNTIF($B$6:B71,B71)=COUNTIF($B$6:$B$162,B71),1,0)</f>
        <v>0</v>
      </c>
      <c r="L71" s="10">
        <f t="shared" si="17"/>
        <v>1000000</v>
      </c>
      <c r="M71" s="10">
        <f t="shared" si="18"/>
        <v>0</v>
      </c>
      <c r="N71" s="10">
        <f t="shared" si="19"/>
        <v>181818</v>
      </c>
      <c r="O71" s="16" t="str">
        <f t="shared" si="20"/>
        <v>OK</v>
      </c>
    </row>
    <row r="72" spans="2:15" x14ac:dyDescent="0.3">
      <c r="B72" s="14" t="s">
        <v>98</v>
      </c>
      <c r="C72" s="14" t="s">
        <v>79</v>
      </c>
      <c r="D72" s="14" t="s">
        <v>70</v>
      </c>
      <c r="E72" s="19">
        <v>5</v>
      </c>
      <c r="F72" s="18">
        <f t="shared" si="14"/>
        <v>22</v>
      </c>
      <c r="G72" s="20" t="s">
        <v>29</v>
      </c>
      <c r="H72" s="10">
        <f>IFERROR(VLOOKUP(G72,Tarif_Plan!$B$5:$G$10,6,FALSE()),"Kelas tdk ditemukan")</f>
        <v>1000000</v>
      </c>
      <c r="I72" s="15">
        <f t="shared" si="15"/>
        <v>0.22727272727272727</v>
      </c>
      <c r="J72" s="10">
        <f t="shared" si="16"/>
        <v>227273</v>
      </c>
      <c r="K72" s="16">
        <f>IF(COUNTIF($B$6:B72,B72)=COUNTIF($B$6:$B$162,B72),1,0)</f>
        <v>0</v>
      </c>
      <c r="L72" s="10">
        <f t="shared" si="17"/>
        <v>1000000</v>
      </c>
      <c r="M72" s="10">
        <f t="shared" si="18"/>
        <v>0</v>
      </c>
      <c r="N72" s="10">
        <f t="shared" si="19"/>
        <v>227273</v>
      </c>
      <c r="O72" s="16" t="str">
        <f t="shared" si="20"/>
        <v>OK</v>
      </c>
    </row>
    <row r="73" spans="2:15" x14ac:dyDescent="0.3">
      <c r="B73" s="14" t="s">
        <v>98</v>
      </c>
      <c r="C73" s="14" t="s">
        <v>80</v>
      </c>
      <c r="D73" s="14" t="s">
        <v>70</v>
      </c>
      <c r="E73" s="19">
        <v>2</v>
      </c>
      <c r="F73" s="18">
        <f t="shared" si="14"/>
        <v>22</v>
      </c>
      <c r="G73" s="20" t="s">
        <v>29</v>
      </c>
      <c r="H73" s="10">
        <f>IFERROR(VLOOKUP(G73,Tarif_Plan!$B$5:$G$10,6,FALSE()),"Kelas tdk ditemukan")</f>
        <v>1000000</v>
      </c>
      <c r="I73" s="15">
        <f t="shared" si="15"/>
        <v>9.0909090909090912E-2</v>
      </c>
      <c r="J73" s="10">
        <f t="shared" si="16"/>
        <v>90909</v>
      </c>
      <c r="K73" s="16">
        <f>IF(COUNTIF($B$6:B73,B73)=COUNTIF($B$6:$B$162,B73),1,0)</f>
        <v>0</v>
      </c>
      <c r="L73" s="10">
        <f t="shared" si="17"/>
        <v>1000000</v>
      </c>
      <c r="M73" s="10">
        <f t="shared" si="18"/>
        <v>0</v>
      </c>
      <c r="N73" s="10">
        <f t="shared" si="19"/>
        <v>90909</v>
      </c>
      <c r="O73" s="16" t="str">
        <f t="shared" si="20"/>
        <v>OK</v>
      </c>
    </row>
    <row r="74" spans="2:15" x14ac:dyDescent="0.3">
      <c r="B74" s="14" t="s">
        <v>98</v>
      </c>
      <c r="C74" s="14" t="s">
        <v>81</v>
      </c>
      <c r="D74" s="14" t="s">
        <v>72</v>
      </c>
      <c r="E74" s="19">
        <v>4</v>
      </c>
      <c r="F74" s="18">
        <f t="shared" si="14"/>
        <v>22</v>
      </c>
      <c r="G74" s="20" t="s">
        <v>29</v>
      </c>
      <c r="H74" s="10">
        <f>IFERROR(VLOOKUP(G74,Tarif_Plan!$B$5:$G$10,6,FALSE()),"Kelas tdk ditemukan")</f>
        <v>1000000</v>
      </c>
      <c r="I74" s="15">
        <f t="shared" si="15"/>
        <v>0.18181818181818182</v>
      </c>
      <c r="J74" s="10">
        <f t="shared" si="16"/>
        <v>181818</v>
      </c>
      <c r="K74" s="16">
        <f>IF(COUNTIF($B$6:B74,B74)=COUNTIF($B$6:$B$162,B74),1,0)</f>
        <v>0</v>
      </c>
      <c r="L74" s="10">
        <f t="shared" si="17"/>
        <v>1000000</v>
      </c>
      <c r="M74" s="10">
        <f t="shared" si="18"/>
        <v>0</v>
      </c>
      <c r="N74" s="10">
        <f t="shared" si="19"/>
        <v>181818</v>
      </c>
      <c r="O74" s="16" t="str">
        <f t="shared" si="20"/>
        <v>OK</v>
      </c>
    </row>
    <row r="75" spans="2:15" x14ac:dyDescent="0.3">
      <c r="B75" s="14" t="s">
        <v>98</v>
      </c>
      <c r="C75" s="14" t="s">
        <v>82</v>
      </c>
      <c r="D75" s="14" t="s">
        <v>72</v>
      </c>
      <c r="E75" s="19">
        <v>4</v>
      </c>
      <c r="F75" s="18">
        <f t="shared" si="14"/>
        <v>22</v>
      </c>
      <c r="G75" s="20" t="s">
        <v>29</v>
      </c>
      <c r="H75" s="10">
        <f>IFERROR(VLOOKUP(G75,Tarif_Plan!$B$5:$G$10,6,FALSE()),"Kelas tdk ditemukan")</f>
        <v>1000000</v>
      </c>
      <c r="I75" s="15">
        <f t="shared" si="15"/>
        <v>0.18181818181818182</v>
      </c>
      <c r="J75" s="10">
        <f t="shared" si="16"/>
        <v>181818</v>
      </c>
      <c r="K75" s="16">
        <f>IF(COUNTIF($B$6:B75,B75)=COUNTIF($B$6:$B$162,B75),1,0)</f>
        <v>0</v>
      </c>
      <c r="L75" s="10">
        <f t="shared" si="17"/>
        <v>1000000</v>
      </c>
      <c r="M75" s="10">
        <f t="shared" si="18"/>
        <v>0</v>
      </c>
      <c r="N75" s="10">
        <f t="shared" si="19"/>
        <v>181818</v>
      </c>
      <c r="O75" s="16" t="str">
        <f t="shared" si="20"/>
        <v>OK</v>
      </c>
    </row>
    <row r="76" spans="2:15" x14ac:dyDescent="0.3">
      <c r="B76" s="14" t="s">
        <v>98</v>
      </c>
      <c r="C76" s="14" t="s">
        <v>62</v>
      </c>
      <c r="D76" s="14" t="s">
        <v>63</v>
      </c>
      <c r="E76" s="19">
        <v>0</v>
      </c>
      <c r="F76" s="18">
        <f t="shared" si="14"/>
        <v>22</v>
      </c>
      <c r="G76" s="20" t="s">
        <v>29</v>
      </c>
      <c r="H76" s="10">
        <f>IFERROR(VLOOKUP(G76,Tarif_Plan!$B$5:$G$10,6,FALSE()),"Kelas tdk ditemukan")</f>
        <v>1000000</v>
      </c>
      <c r="I76" s="15">
        <f t="shared" si="15"/>
        <v>0</v>
      </c>
      <c r="J76" s="10">
        <f t="shared" si="16"/>
        <v>0</v>
      </c>
      <c r="K76" s="16">
        <f>IF(COUNTIF($B$6:B76,B76)=COUNTIF($B$6:$B$162,B76),1,0)</f>
        <v>1</v>
      </c>
      <c r="L76" s="10">
        <f t="shared" si="17"/>
        <v>1000000</v>
      </c>
      <c r="M76" s="10">
        <f t="shared" si="18"/>
        <v>0</v>
      </c>
      <c r="N76" s="10">
        <f t="shared" si="19"/>
        <v>0</v>
      </c>
      <c r="O76" s="16" t="str">
        <f t="shared" si="20"/>
        <v>OK</v>
      </c>
    </row>
    <row r="77" spans="2:15" x14ac:dyDescent="0.3">
      <c r="B77" s="14" t="s">
        <v>99</v>
      </c>
      <c r="C77" s="14" t="s">
        <v>100</v>
      </c>
      <c r="D77" s="14" t="s">
        <v>67</v>
      </c>
      <c r="E77" s="19">
        <v>4</v>
      </c>
      <c r="F77" s="18">
        <f t="shared" si="14"/>
        <v>12</v>
      </c>
      <c r="G77" s="20" t="s">
        <v>29</v>
      </c>
      <c r="H77" s="10">
        <f>IFERROR(VLOOKUP(G77,Tarif_Plan!$B$5:$G$10,6,FALSE()),"Kelas tdk ditemukan")</f>
        <v>1000000</v>
      </c>
      <c r="I77" s="15">
        <f t="shared" si="15"/>
        <v>0.33333333333333331</v>
      </c>
      <c r="J77" s="10">
        <f t="shared" si="16"/>
        <v>333333</v>
      </c>
      <c r="K77" s="16">
        <f>IF(COUNTIF($B$6:B77,B77)=COUNTIF($B$6:$B$162,B77),1,0)</f>
        <v>0</v>
      </c>
      <c r="L77" s="10">
        <f t="shared" si="17"/>
        <v>999999</v>
      </c>
      <c r="M77" s="10">
        <f t="shared" si="18"/>
        <v>1</v>
      </c>
      <c r="N77" s="10">
        <f t="shared" si="19"/>
        <v>333333</v>
      </c>
      <c r="O77" s="16" t="str">
        <f t="shared" si="20"/>
        <v>OK</v>
      </c>
    </row>
    <row r="78" spans="2:15" x14ac:dyDescent="0.3">
      <c r="B78" s="14" t="s">
        <v>99</v>
      </c>
      <c r="C78" s="14" t="s">
        <v>101</v>
      </c>
      <c r="D78" s="14" t="s">
        <v>70</v>
      </c>
      <c r="E78" s="19">
        <v>4</v>
      </c>
      <c r="F78" s="18">
        <f t="shared" si="14"/>
        <v>12</v>
      </c>
      <c r="G78" s="20" t="s">
        <v>29</v>
      </c>
      <c r="H78" s="10">
        <f>IFERROR(VLOOKUP(G78,Tarif_Plan!$B$5:$G$10,6,FALSE()),"Kelas tdk ditemukan")</f>
        <v>1000000</v>
      </c>
      <c r="I78" s="15">
        <f t="shared" si="15"/>
        <v>0.33333333333333331</v>
      </c>
      <c r="J78" s="10">
        <f t="shared" si="16"/>
        <v>333333</v>
      </c>
      <c r="K78" s="16">
        <f>IF(COUNTIF($B$6:B78,B78)=COUNTIF($B$6:$B$162,B78),1,0)</f>
        <v>0</v>
      </c>
      <c r="L78" s="10">
        <f t="shared" si="17"/>
        <v>999999</v>
      </c>
      <c r="M78" s="10">
        <f t="shared" si="18"/>
        <v>1</v>
      </c>
      <c r="N78" s="10">
        <f t="shared" si="19"/>
        <v>333333</v>
      </c>
      <c r="O78" s="16" t="str">
        <f t="shared" si="20"/>
        <v>OK</v>
      </c>
    </row>
    <row r="79" spans="2:15" x14ac:dyDescent="0.3">
      <c r="B79" s="14" t="s">
        <v>99</v>
      </c>
      <c r="C79" s="14" t="s">
        <v>102</v>
      </c>
      <c r="D79" s="14" t="s">
        <v>70</v>
      </c>
      <c r="E79" s="19">
        <v>4</v>
      </c>
      <c r="F79" s="18">
        <f t="shared" si="14"/>
        <v>12</v>
      </c>
      <c r="G79" s="20" t="s">
        <v>29</v>
      </c>
      <c r="H79" s="10">
        <f>IFERROR(VLOOKUP(G79,Tarif_Plan!$B$5:$G$10,6,FALSE()),"Kelas tdk ditemukan")</f>
        <v>1000000</v>
      </c>
      <c r="I79" s="15">
        <f t="shared" si="15"/>
        <v>0.33333333333333331</v>
      </c>
      <c r="J79" s="10">
        <f t="shared" si="16"/>
        <v>333333</v>
      </c>
      <c r="K79" s="16">
        <f>IF(COUNTIF($B$6:B79,B79)=COUNTIF($B$6:$B$162,B79),1,0)</f>
        <v>1</v>
      </c>
      <c r="L79" s="10">
        <f t="shared" si="17"/>
        <v>999999</v>
      </c>
      <c r="M79" s="10">
        <f t="shared" si="18"/>
        <v>1</v>
      </c>
      <c r="N79" s="10">
        <f t="shared" si="19"/>
        <v>333334</v>
      </c>
      <c r="O79" s="16" t="str">
        <f t="shared" si="20"/>
        <v>OK</v>
      </c>
    </row>
    <row r="80" spans="2:15" x14ac:dyDescent="0.3">
      <c r="B80" s="14" t="s">
        <v>103</v>
      </c>
      <c r="C80" s="14" t="s">
        <v>96</v>
      </c>
      <c r="D80" s="14"/>
      <c r="E80" s="19">
        <v>4</v>
      </c>
      <c r="F80" s="18">
        <f t="shared" si="14"/>
        <v>9</v>
      </c>
      <c r="G80" s="20" t="s">
        <v>29</v>
      </c>
      <c r="H80" s="10">
        <f>IFERROR(VLOOKUP(G80,Tarif_Plan!$B$5:$G$10,6,FALSE()),"Kelas tdk ditemukan")</f>
        <v>1000000</v>
      </c>
      <c r="I80" s="15">
        <f t="shared" si="15"/>
        <v>0.44444444444444442</v>
      </c>
      <c r="J80" s="10">
        <f t="shared" si="16"/>
        <v>444444</v>
      </c>
      <c r="K80" s="16">
        <f>IF(COUNTIF($B$6:B80,B80)=COUNTIF($B$6:$B$162,B80),1,0)</f>
        <v>0</v>
      </c>
      <c r="L80" s="10">
        <f t="shared" si="17"/>
        <v>999999</v>
      </c>
      <c r="M80" s="10">
        <f t="shared" si="18"/>
        <v>1</v>
      </c>
      <c r="N80" s="10">
        <f t="shared" si="19"/>
        <v>444444</v>
      </c>
      <c r="O80" s="16" t="str">
        <f t="shared" si="20"/>
        <v>OK</v>
      </c>
    </row>
    <row r="81" spans="2:15" x14ac:dyDescent="0.3">
      <c r="B81" s="14" t="s">
        <v>103</v>
      </c>
      <c r="C81" s="14" t="s">
        <v>104</v>
      </c>
      <c r="D81" s="14"/>
      <c r="E81" s="19">
        <v>2</v>
      </c>
      <c r="F81" s="18">
        <f t="shared" si="14"/>
        <v>9</v>
      </c>
      <c r="G81" s="20" t="s">
        <v>29</v>
      </c>
      <c r="H81" s="10">
        <f>IFERROR(VLOOKUP(G81,Tarif_Plan!$B$5:$G$10,6,FALSE()),"Kelas tdk ditemukan")</f>
        <v>1000000</v>
      </c>
      <c r="I81" s="15">
        <f t="shared" si="15"/>
        <v>0.22222222222222221</v>
      </c>
      <c r="J81" s="10">
        <f t="shared" si="16"/>
        <v>222222</v>
      </c>
      <c r="K81" s="16">
        <f>IF(COUNTIF($B$6:B81,B81)=COUNTIF($B$6:$B$162,B81),1,0)</f>
        <v>0</v>
      </c>
      <c r="L81" s="10">
        <f t="shared" si="17"/>
        <v>999999</v>
      </c>
      <c r="M81" s="10">
        <f t="shared" si="18"/>
        <v>1</v>
      </c>
      <c r="N81" s="10">
        <f t="shared" si="19"/>
        <v>222222</v>
      </c>
      <c r="O81" s="16" t="str">
        <f t="shared" si="20"/>
        <v>OK</v>
      </c>
    </row>
    <row r="82" spans="2:15" x14ac:dyDescent="0.3">
      <c r="B82" s="14" t="s">
        <v>103</v>
      </c>
      <c r="C82" s="14" t="s">
        <v>97</v>
      </c>
      <c r="D82" s="14"/>
      <c r="E82" s="19">
        <v>3</v>
      </c>
      <c r="F82" s="18">
        <f t="shared" si="14"/>
        <v>9</v>
      </c>
      <c r="G82" s="20" t="s">
        <v>29</v>
      </c>
      <c r="H82" s="10">
        <f>IFERROR(VLOOKUP(G82,Tarif_Plan!$B$5:$G$10,6,FALSE()),"Kelas tdk ditemukan")</f>
        <v>1000000</v>
      </c>
      <c r="I82" s="15">
        <f t="shared" si="15"/>
        <v>0.33333333333333331</v>
      </c>
      <c r="J82" s="10">
        <f t="shared" si="16"/>
        <v>333333</v>
      </c>
      <c r="K82" s="16">
        <f>IF(COUNTIF($B$6:B82,B82)=COUNTIF($B$6:$B$162,B82),1,0)</f>
        <v>1</v>
      </c>
      <c r="L82" s="10">
        <f t="shared" si="17"/>
        <v>999999</v>
      </c>
      <c r="M82" s="10">
        <f t="shared" si="18"/>
        <v>1</v>
      </c>
      <c r="N82" s="10">
        <f t="shared" si="19"/>
        <v>333334</v>
      </c>
      <c r="O82" s="16" t="str">
        <f t="shared" si="20"/>
        <v>OK</v>
      </c>
    </row>
    <row r="83" spans="2:15" x14ac:dyDescent="0.3">
      <c r="B83" s="14" t="s">
        <v>105</v>
      </c>
      <c r="C83" s="14" t="s">
        <v>96</v>
      </c>
      <c r="D83" s="14"/>
      <c r="E83" s="19">
        <v>4</v>
      </c>
      <c r="F83" s="18">
        <f t="shared" si="14"/>
        <v>12</v>
      </c>
      <c r="G83" s="20" t="s">
        <v>29</v>
      </c>
      <c r="H83" s="10">
        <f>IFERROR(VLOOKUP(G83,Tarif_Plan!$B$5:$G$10,6,FALSE()),"Kelas tdk ditemukan")</f>
        <v>1000000</v>
      </c>
      <c r="I83" s="15">
        <f t="shared" si="15"/>
        <v>0.33333333333333331</v>
      </c>
      <c r="J83" s="10">
        <f t="shared" si="16"/>
        <v>333333</v>
      </c>
      <c r="K83" s="16">
        <f>IF(COUNTIF($B$6:B83,B83)=COUNTIF($B$6:$B$162,B83),1,0)</f>
        <v>0</v>
      </c>
      <c r="L83" s="10">
        <f t="shared" si="17"/>
        <v>999999</v>
      </c>
      <c r="M83" s="10">
        <f t="shared" si="18"/>
        <v>1</v>
      </c>
      <c r="N83" s="10">
        <f t="shared" si="19"/>
        <v>333333</v>
      </c>
      <c r="O83" s="16" t="str">
        <f t="shared" si="20"/>
        <v>OK</v>
      </c>
    </row>
    <row r="84" spans="2:15" x14ac:dyDescent="0.3">
      <c r="B84" s="14" t="s">
        <v>105</v>
      </c>
      <c r="C84" s="14" t="s">
        <v>104</v>
      </c>
      <c r="D84" s="14"/>
      <c r="E84" s="19">
        <v>4</v>
      </c>
      <c r="F84" s="18">
        <f t="shared" si="14"/>
        <v>12</v>
      </c>
      <c r="G84" s="20" t="s">
        <v>29</v>
      </c>
      <c r="H84" s="10">
        <f>IFERROR(VLOOKUP(G84,Tarif_Plan!$B$5:$G$10,6,FALSE()),"Kelas tdk ditemukan")</f>
        <v>1000000</v>
      </c>
      <c r="I84" s="15">
        <f t="shared" si="15"/>
        <v>0.33333333333333331</v>
      </c>
      <c r="J84" s="10">
        <f t="shared" si="16"/>
        <v>333333</v>
      </c>
      <c r="K84" s="16">
        <f>IF(COUNTIF($B$6:B84,B84)=COUNTIF($B$6:$B$162,B84),1,0)</f>
        <v>0</v>
      </c>
      <c r="L84" s="10">
        <f t="shared" si="17"/>
        <v>999999</v>
      </c>
      <c r="M84" s="10">
        <f t="shared" si="18"/>
        <v>1</v>
      </c>
      <c r="N84" s="10">
        <f t="shared" si="19"/>
        <v>333333</v>
      </c>
      <c r="O84" s="16" t="str">
        <f t="shared" si="20"/>
        <v>OK</v>
      </c>
    </row>
    <row r="85" spans="2:15" x14ac:dyDescent="0.3">
      <c r="B85" s="14" t="s">
        <v>105</v>
      </c>
      <c r="C85" s="14" t="s">
        <v>97</v>
      </c>
      <c r="D85" s="14"/>
      <c r="E85" s="19">
        <v>4</v>
      </c>
      <c r="F85" s="18">
        <f t="shared" si="14"/>
        <v>12</v>
      </c>
      <c r="G85" s="20" t="s">
        <v>29</v>
      </c>
      <c r="H85" s="10">
        <f>IFERROR(VLOOKUP(G85,Tarif_Plan!$B$5:$G$10,6,FALSE()),"Kelas tdk ditemukan")</f>
        <v>1000000</v>
      </c>
      <c r="I85" s="15">
        <f t="shared" si="15"/>
        <v>0.33333333333333331</v>
      </c>
      <c r="J85" s="10">
        <f t="shared" si="16"/>
        <v>333333</v>
      </c>
      <c r="K85" s="16">
        <f>IF(COUNTIF($B$6:B85,B85)=COUNTIF($B$6:$B$162,B85),1,0)</f>
        <v>1</v>
      </c>
      <c r="L85" s="10">
        <f t="shared" si="17"/>
        <v>999999</v>
      </c>
      <c r="M85" s="10">
        <f t="shared" si="18"/>
        <v>1</v>
      </c>
      <c r="N85" s="10">
        <f t="shared" si="19"/>
        <v>333334</v>
      </c>
      <c r="O85" s="16" t="str">
        <f t="shared" si="20"/>
        <v>OK</v>
      </c>
    </row>
    <row r="86" spans="2:15" x14ac:dyDescent="0.3">
      <c r="B86" s="14" t="s">
        <v>106</v>
      </c>
      <c r="C86" s="14" t="s">
        <v>96</v>
      </c>
      <c r="D86" s="14"/>
      <c r="E86" s="19">
        <v>8</v>
      </c>
      <c r="F86" s="18">
        <f t="shared" si="14"/>
        <v>20</v>
      </c>
      <c r="G86" s="20" t="s">
        <v>29</v>
      </c>
      <c r="H86" s="10">
        <f>IFERROR(VLOOKUP(G86,Tarif_Plan!$B$5:$G$10,6,FALSE()),"Kelas tdk ditemukan")</f>
        <v>1000000</v>
      </c>
      <c r="I86" s="15">
        <f t="shared" si="15"/>
        <v>0.4</v>
      </c>
      <c r="J86" s="10">
        <f t="shared" si="16"/>
        <v>400000</v>
      </c>
      <c r="K86" s="16">
        <f>IF(COUNTIF($B$6:B86,B86)=COUNTIF($B$6:$B$162,B86),1,0)</f>
        <v>0</v>
      </c>
      <c r="L86" s="10">
        <f t="shared" si="17"/>
        <v>1000000</v>
      </c>
      <c r="M86" s="10">
        <f t="shared" si="18"/>
        <v>0</v>
      </c>
      <c r="N86" s="10">
        <f t="shared" si="19"/>
        <v>400000</v>
      </c>
      <c r="O86" s="16" t="str">
        <f t="shared" si="20"/>
        <v>OK</v>
      </c>
    </row>
    <row r="87" spans="2:15" x14ac:dyDescent="0.3">
      <c r="B87" s="14" t="s">
        <v>106</v>
      </c>
      <c r="C87" s="14" t="s">
        <v>104</v>
      </c>
      <c r="D87" s="14"/>
      <c r="E87" s="19">
        <v>6</v>
      </c>
      <c r="F87" s="18">
        <f t="shared" si="14"/>
        <v>20</v>
      </c>
      <c r="G87" s="20" t="s">
        <v>29</v>
      </c>
      <c r="H87" s="10">
        <f>IFERROR(VLOOKUP(G87,Tarif_Plan!$B$5:$G$10,6,FALSE()),"Kelas tdk ditemukan")</f>
        <v>1000000</v>
      </c>
      <c r="I87" s="15">
        <f t="shared" si="15"/>
        <v>0.3</v>
      </c>
      <c r="J87" s="10">
        <f t="shared" si="16"/>
        <v>300000</v>
      </c>
      <c r="K87" s="16">
        <f>IF(COUNTIF($B$6:B87,B87)=COUNTIF($B$6:$B$162,B87),1,0)</f>
        <v>0</v>
      </c>
      <c r="L87" s="10">
        <f t="shared" si="17"/>
        <v>1000000</v>
      </c>
      <c r="M87" s="10">
        <f t="shared" si="18"/>
        <v>0</v>
      </c>
      <c r="N87" s="10">
        <f t="shared" si="19"/>
        <v>300000</v>
      </c>
      <c r="O87" s="16" t="str">
        <f t="shared" si="20"/>
        <v>OK</v>
      </c>
    </row>
    <row r="88" spans="2:15" x14ac:dyDescent="0.3">
      <c r="B88" s="14" t="s">
        <v>106</v>
      </c>
      <c r="C88" s="14" t="s">
        <v>97</v>
      </c>
      <c r="D88" s="14"/>
      <c r="E88" s="19">
        <v>6</v>
      </c>
      <c r="F88" s="18">
        <f t="shared" si="14"/>
        <v>20</v>
      </c>
      <c r="G88" s="20" t="s">
        <v>29</v>
      </c>
      <c r="H88" s="10">
        <f>IFERROR(VLOOKUP(G88,Tarif_Plan!$B$5:$G$10,6,FALSE()),"Kelas tdk ditemukan")</f>
        <v>1000000</v>
      </c>
      <c r="I88" s="15">
        <f t="shared" si="15"/>
        <v>0.3</v>
      </c>
      <c r="J88" s="10">
        <f t="shared" si="16"/>
        <v>300000</v>
      </c>
      <c r="K88" s="16">
        <f>IF(COUNTIF($B$6:B88,B88)=COUNTIF($B$6:$B$162,B88),1,0)</f>
        <v>1</v>
      </c>
      <c r="L88" s="10">
        <f t="shared" si="17"/>
        <v>1000000</v>
      </c>
      <c r="M88" s="10">
        <f t="shared" si="18"/>
        <v>0</v>
      </c>
      <c r="N88" s="10">
        <f t="shared" si="19"/>
        <v>300000</v>
      </c>
      <c r="O88" s="16" t="str">
        <f t="shared" si="20"/>
        <v>OK</v>
      </c>
    </row>
    <row r="89" spans="2:15" x14ac:dyDescent="0.3">
      <c r="B89" s="14" t="s">
        <v>107</v>
      </c>
      <c r="C89" s="14" t="s">
        <v>108</v>
      </c>
      <c r="D89" s="14" t="s">
        <v>109</v>
      </c>
      <c r="E89" s="19">
        <v>4</v>
      </c>
      <c r="F89" s="18">
        <f t="shared" si="14"/>
        <v>4</v>
      </c>
      <c r="G89" s="20" t="s">
        <v>29</v>
      </c>
      <c r="H89" s="10">
        <f>IFERROR(VLOOKUP(G89,Tarif_Plan!$B$5:$G$10,6,FALSE()),"Kelas tdk ditemukan")</f>
        <v>1000000</v>
      </c>
      <c r="I89" s="15">
        <f t="shared" si="15"/>
        <v>1</v>
      </c>
      <c r="J89" s="10">
        <f t="shared" si="16"/>
        <v>1000000</v>
      </c>
      <c r="K89" s="16">
        <f>IF(COUNTIF($B$6:B89,B89)=COUNTIF($B$6:$B$162,B89),1,0)</f>
        <v>1</v>
      </c>
      <c r="L89" s="10">
        <f t="shared" si="17"/>
        <v>1000000</v>
      </c>
      <c r="M89" s="10">
        <f t="shared" si="18"/>
        <v>0</v>
      </c>
      <c r="N89" s="10">
        <f t="shared" si="19"/>
        <v>1000000</v>
      </c>
      <c r="O89" s="16" t="str">
        <f t="shared" si="20"/>
        <v>OK</v>
      </c>
    </row>
    <row r="90" spans="2:15" x14ac:dyDescent="0.3">
      <c r="B90" s="14" t="s">
        <v>110</v>
      </c>
      <c r="C90" s="14" t="s">
        <v>95</v>
      </c>
      <c r="D90" s="14" t="s">
        <v>111</v>
      </c>
      <c r="E90" s="19">
        <v>1</v>
      </c>
      <c r="F90" s="18">
        <f t="shared" si="14"/>
        <v>30</v>
      </c>
      <c r="G90" s="20" t="s">
        <v>29</v>
      </c>
      <c r="H90" s="10">
        <f>IFERROR(VLOOKUP(G90,Tarif_Plan!$B$5:$G$10,6,FALSE()),"Kelas tdk ditemukan")</f>
        <v>1000000</v>
      </c>
      <c r="I90" s="15">
        <f t="shared" si="15"/>
        <v>3.3333333333333333E-2</v>
      </c>
      <c r="J90" s="10">
        <f t="shared" si="16"/>
        <v>33333</v>
      </c>
      <c r="K90" s="16">
        <f>IF(COUNTIF($B$6:B90,B90)=COUNTIF($B$6:$B$162,B90),1,0)</f>
        <v>0</v>
      </c>
      <c r="L90" s="10">
        <f t="shared" si="17"/>
        <v>999998</v>
      </c>
      <c r="M90" s="10">
        <f t="shared" si="18"/>
        <v>2</v>
      </c>
      <c r="N90" s="10">
        <f t="shared" si="19"/>
        <v>33333</v>
      </c>
      <c r="O90" s="16" t="str">
        <f t="shared" si="20"/>
        <v>OK</v>
      </c>
    </row>
    <row r="91" spans="2:15" x14ac:dyDescent="0.3">
      <c r="B91" s="14" t="s">
        <v>110</v>
      </c>
      <c r="C91" s="14" t="s">
        <v>84</v>
      </c>
      <c r="D91" s="14" t="s">
        <v>111</v>
      </c>
      <c r="E91" s="19">
        <v>1</v>
      </c>
      <c r="F91" s="18">
        <f t="shared" si="14"/>
        <v>30</v>
      </c>
      <c r="G91" s="20" t="s">
        <v>29</v>
      </c>
      <c r="H91" s="10">
        <f>IFERROR(VLOOKUP(G91,Tarif_Plan!$B$5:$G$10,6,FALSE()),"Kelas tdk ditemukan")</f>
        <v>1000000</v>
      </c>
      <c r="I91" s="15">
        <f t="shared" si="15"/>
        <v>3.3333333333333333E-2</v>
      </c>
      <c r="J91" s="10">
        <f t="shared" si="16"/>
        <v>33333</v>
      </c>
      <c r="K91" s="16">
        <f>IF(COUNTIF($B$6:B91,B91)=COUNTIF($B$6:$B$162,B91),1,0)</f>
        <v>0</v>
      </c>
      <c r="L91" s="10">
        <f t="shared" si="17"/>
        <v>999998</v>
      </c>
      <c r="M91" s="10">
        <f t="shared" si="18"/>
        <v>2</v>
      </c>
      <c r="N91" s="10">
        <f t="shared" si="19"/>
        <v>33333</v>
      </c>
      <c r="O91" s="16" t="str">
        <f t="shared" si="20"/>
        <v>OK</v>
      </c>
    </row>
    <row r="92" spans="2:15" x14ac:dyDescent="0.3">
      <c r="B92" s="14" t="s">
        <v>110</v>
      </c>
      <c r="C92" s="14" t="s">
        <v>100</v>
      </c>
      <c r="D92" s="14" t="s">
        <v>112</v>
      </c>
      <c r="E92" s="19">
        <v>3</v>
      </c>
      <c r="F92" s="18">
        <f t="shared" si="14"/>
        <v>30</v>
      </c>
      <c r="G92" s="20" t="s">
        <v>29</v>
      </c>
      <c r="H92" s="10">
        <f>IFERROR(VLOOKUP(G92,Tarif_Plan!$B$5:$G$10,6,FALSE()),"Kelas tdk ditemukan")</f>
        <v>1000000</v>
      </c>
      <c r="I92" s="15">
        <f t="shared" si="15"/>
        <v>0.1</v>
      </c>
      <c r="J92" s="10">
        <f t="shared" si="16"/>
        <v>100000</v>
      </c>
      <c r="K92" s="16">
        <f>IF(COUNTIF($B$6:B92,B92)=COUNTIF($B$6:$B$162,B92),1,0)</f>
        <v>0</v>
      </c>
      <c r="L92" s="10">
        <f t="shared" si="17"/>
        <v>999998</v>
      </c>
      <c r="M92" s="10">
        <f t="shared" si="18"/>
        <v>2</v>
      </c>
      <c r="N92" s="10">
        <f t="shared" si="19"/>
        <v>100000</v>
      </c>
      <c r="O92" s="16" t="str">
        <f t="shared" si="20"/>
        <v>OK</v>
      </c>
    </row>
    <row r="93" spans="2:15" x14ac:dyDescent="0.3">
      <c r="B93" s="14" t="s">
        <v>110</v>
      </c>
      <c r="C93" s="14" t="s">
        <v>91</v>
      </c>
      <c r="D93" s="14" t="s">
        <v>112</v>
      </c>
      <c r="E93" s="19">
        <v>3</v>
      </c>
      <c r="F93" s="18">
        <f t="shared" si="14"/>
        <v>30</v>
      </c>
      <c r="G93" s="20" t="s">
        <v>29</v>
      </c>
      <c r="H93" s="10">
        <f>IFERROR(VLOOKUP(G93,Tarif_Plan!$B$5:$G$10,6,FALSE()),"Kelas tdk ditemukan")</f>
        <v>1000000</v>
      </c>
      <c r="I93" s="15">
        <f t="shared" si="15"/>
        <v>0.1</v>
      </c>
      <c r="J93" s="10">
        <f t="shared" si="16"/>
        <v>100000</v>
      </c>
      <c r="K93" s="16">
        <f>IF(COUNTIF($B$6:B93,B93)=COUNTIF($B$6:$B$162,B93),1,0)</f>
        <v>0</v>
      </c>
      <c r="L93" s="10">
        <f t="shared" si="17"/>
        <v>999998</v>
      </c>
      <c r="M93" s="10">
        <f t="shared" si="18"/>
        <v>2</v>
      </c>
      <c r="N93" s="10">
        <f t="shared" si="19"/>
        <v>100000</v>
      </c>
      <c r="O93" s="16" t="str">
        <f t="shared" si="20"/>
        <v>OK</v>
      </c>
    </row>
    <row r="94" spans="2:15" x14ac:dyDescent="0.3">
      <c r="B94" s="14" t="s">
        <v>110</v>
      </c>
      <c r="C94" s="14" t="s">
        <v>101</v>
      </c>
      <c r="D94" s="14" t="s">
        <v>113</v>
      </c>
      <c r="E94" s="19">
        <v>4</v>
      </c>
      <c r="F94" s="18">
        <f t="shared" si="14"/>
        <v>30</v>
      </c>
      <c r="G94" s="20" t="s">
        <v>29</v>
      </c>
      <c r="H94" s="10">
        <f>IFERROR(VLOOKUP(G94,Tarif_Plan!$B$5:$G$10,6,FALSE()),"Kelas tdk ditemukan")</f>
        <v>1000000</v>
      </c>
      <c r="I94" s="15">
        <f t="shared" si="15"/>
        <v>0.13333333333333333</v>
      </c>
      <c r="J94" s="10">
        <f t="shared" si="16"/>
        <v>133333</v>
      </c>
      <c r="K94" s="16">
        <f>IF(COUNTIF($B$6:B94,B94)=COUNTIF($B$6:$B$162,B94),1,0)</f>
        <v>0</v>
      </c>
      <c r="L94" s="10">
        <f t="shared" si="17"/>
        <v>999998</v>
      </c>
      <c r="M94" s="10">
        <f t="shared" si="18"/>
        <v>2</v>
      </c>
      <c r="N94" s="10">
        <f t="shared" si="19"/>
        <v>133333</v>
      </c>
      <c r="O94" s="16" t="str">
        <f t="shared" si="20"/>
        <v>OK</v>
      </c>
    </row>
    <row r="95" spans="2:15" x14ac:dyDescent="0.3">
      <c r="B95" s="14" t="s">
        <v>110</v>
      </c>
      <c r="C95" s="14" t="s">
        <v>102</v>
      </c>
      <c r="D95" s="14" t="s">
        <v>113</v>
      </c>
      <c r="E95" s="19">
        <v>4</v>
      </c>
      <c r="F95" s="18">
        <f t="shared" si="14"/>
        <v>30</v>
      </c>
      <c r="G95" s="20" t="s">
        <v>29</v>
      </c>
      <c r="H95" s="10">
        <f>IFERROR(VLOOKUP(G95,Tarif_Plan!$B$5:$G$10,6,FALSE()),"Kelas tdk ditemukan")</f>
        <v>1000000</v>
      </c>
      <c r="I95" s="15">
        <f t="shared" si="15"/>
        <v>0.13333333333333333</v>
      </c>
      <c r="J95" s="10">
        <f t="shared" si="16"/>
        <v>133333</v>
      </c>
      <c r="K95" s="16">
        <f>IF(COUNTIF($B$6:B95,B95)=COUNTIF($B$6:$B$162,B95),1,0)</f>
        <v>0</v>
      </c>
      <c r="L95" s="10">
        <f t="shared" si="17"/>
        <v>999998</v>
      </c>
      <c r="M95" s="10">
        <f t="shared" si="18"/>
        <v>2</v>
      </c>
      <c r="N95" s="10">
        <f t="shared" si="19"/>
        <v>133333</v>
      </c>
      <c r="O95" s="16" t="str">
        <f t="shared" si="20"/>
        <v>OK</v>
      </c>
    </row>
    <row r="96" spans="2:15" x14ac:dyDescent="0.3">
      <c r="B96" s="14" t="s">
        <v>110</v>
      </c>
      <c r="C96" s="14" t="s">
        <v>108</v>
      </c>
      <c r="D96" s="14" t="s">
        <v>109</v>
      </c>
      <c r="E96" s="19">
        <v>6</v>
      </c>
      <c r="F96" s="18">
        <f t="shared" si="14"/>
        <v>30</v>
      </c>
      <c r="G96" s="20" t="s">
        <v>29</v>
      </c>
      <c r="H96" s="10">
        <f>IFERROR(VLOOKUP(G96,Tarif_Plan!$B$5:$G$10,6,FALSE()),"Kelas tdk ditemukan")</f>
        <v>1000000</v>
      </c>
      <c r="I96" s="15">
        <f t="shared" si="15"/>
        <v>0.2</v>
      </c>
      <c r="J96" s="10">
        <f t="shared" si="16"/>
        <v>200000</v>
      </c>
      <c r="K96" s="16">
        <f>IF(COUNTIF($B$6:B96,B96)=COUNTIF($B$6:$B$162,B96),1,0)</f>
        <v>0</v>
      </c>
      <c r="L96" s="10">
        <f t="shared" si="17"/>
        <v>999998</v>
      </c>
      <c r="M96" s="10">
        <f t="shared" si="18"/>
        <v>2</v>
      </c>
      <c r="N96" s="10">
        <f t="shared" si="19"/>
        <v>200000</v>
      </c>
      <c r="O96" s="16" t="str">
        <f t="shared" si="20"/>
        <v>OK</v>
      </c>
    </row>
    <row r="97" spans="2:15" x14ac:dyDescent="0.3">
      <c r="B97" s="14" t="s">
        <v>110</v>
      </c>
      <c r="C97" s="14" t="s">
        <v>114</v>
      </c>
      <c r="D97" s="14" t="s">
        <v>109</v>
      </c>
      <c r="E97" s="19">
        <v>4</v>
      </c>
      <c r="F97" s="18">
        <f t="shared" si="14"/>
        <v>30</v>
      </c>
      <c r="G97" s="20" t="s">
        <v>29</v>
      </c>
      <c r="H97" s="10">
        <f>IFERROR(VLOOKUP(G97,Tarif_Plan!$B$5:$G$10,6,FALSE()),"Kelas tdk ditemukan")</f>
        <v>1000000</v>
      </c>
      <c r="I97" s="15">
        <f t="shared" si="15"/>
        <v>0.13333333333333333</v>
      </c>
      <c r="J97" s="10">
        <f t="shared" si="16"/>
        <v>133333</v>
      </c>
      <c r="K97" s="16">
        <f>IF(COUNTIF($B$6:B97,B97)=COUNTIF($B$6:$B$162,B97),1,0)</f>
        <v>0</v>
      </c>
      <c r="L97" s="10">
        <f t="shared" si="17"/>
        <v>999998</v>
      </c>
      <c r="M97" s="10">
        <f t="shared" si="18"/>
        <v>2</v>
      </c>
      <c r="N97" s="10">
        <f t="shared" si="19"/>
        <v>133333</v>
      </c>
      <c r="O97" s="16" t="str">
        <f t="shared" si="20"/>
        <v>OK</v>
      </c>
    </row>
    <row r="98" spans="2:15" x14ac:dyDescent="0.3">
      <c r="B98" s="14" t="s">
        <v>110</v>
      </c>
      <c r="C98" s="14" t="s">
        <v>93</v>
      </c>
      <c r="D98" s="14" t="s">
        <v>109</v>
      </c>
      <c r="E98" s="19">
        <v>4</v>
      </c>
      <c r="F98" s="18">
        <f t="shared" si="14"/>
        <v>30</v>
      </c>
      <c r="G98" s="20" t="s">
        <v>29</v>
      </c>
      <c r="H98" s="10">
        <f>IFERROR(VLOOKUP(G98,Tarif_Plan!$B$5:$G$10,6,FALSE()),"Kelas tdk ditemukan")</f>
        <v>1000000</v>
      </c>
      <c r="I98" s="15">
        <f t="shared" si="15"/>
        <v>0.13333333333333333</v>
      </c>
      <c r="J98" s="10">
        <f t="shared" si="16"/>
        <v>133333</v>
      </c>
      <c r="K98" s="16">
        <f>IF(COUNTIF($B$6:B98,B98)=COUNTIF($B$6:$B$162,B98),1,0)</f>
        <v>0</v>
      </c>
      <c r="L98" s="10">
        <f t="shared" si="17"/>
        <v>999998</v>
      </c>
      <c r="M98" s="10">
        <f t="shared" si="18"/>
        <v>2</v>
      </c>
      <c r="N98" s="10">
        <f t="shared" si="19"/>
        <v>133333</v>
      </c>
      <c r="O98" s="16" t="str">
        <f t="shared" si="20"/>
        <v>OK</v>
      </c>
    </row>
    <row r="99" spans="2:15" x14ac:dyDescent="0.3">
      <c r="B99" s="14" t="s">
        <v>110</v>
      </c>
      <c r="C99" s="14" t="s">
        <v>86</v>
      </c>
      <c r="D99" s="14" t="s">
        <v>115</v>
      </c>
      <c r="E99" s="19">
        <v>0</v>
      </c>
      <c r="F99" s="18">
        <f t="shared" si="14"/>
        <v>30</v>
      </c>
      <c r="G99" s="20" t="s">
        <v>29</v>
      </c>
      <c r="H99" s="10">
        <f>IFERROR(VLOOKUP(G99,Tarif_Plan!$B$5:$G$10,6,FALSE()),"Kelas tdk ditemukan")</f>
        <v>1000000</v>
      </c>
      <c r="I99" s="15">
        <f t="shared" si="15"/>
        <v>0</v>
      </c>
      <c r="J99" s="10">
        <f t="shared" si="16"/>
        <v>0</v>
      </c>
      <c r="K99" s="16">
        <f>IF(COUNTIF($B$6:B99,B99)=COUNTIF($B$6:$B$162,B99),1,0)</f>
        <v>0</v>
      </c>
      <c r="L99" s="10">
        <f t="shared" si="17"/>
        <v>999998</v>
      </c>
      <c r="M99" s="10">
        <f t="shared" si="18"/>
        <v>2</v>
      </c>
      <c r="N99" s="10">
        <f t="shared" si="19"/>
        <v>0</v>
      </c>
      <c r="O99" s="16" t="str">
        <f t="shared" si="20"/>
        <v>OK</v>
      </c>
    </row>
    <row r="100" spans="2:15" x14ac:dyDescent="0.3">
      <c r="B100" s="14" t="s">
        <v>110</v>
      </c>
      <c r="C100" s="14" t="s">
        <v>62</v>
      </c>
      <c r="D100" s="14" t="s">
        <v>115</v>
      </c>
      <c r="E100" s="19">
        <v>0</v>
      </c>
      <c r="F100" s="18">
        <f t="shared" si="14"/>
        <v>30</v>
      </c>
      <c r="G100" s="20" t="s">
        <v>29</v>
      </c>
      <c r="H100" s="10">
        <f>IFERROR(VLOOKUP(G100,Tarif_Plan!$B$5:$G$10,6,FALSE()),"Kelas tdk ditemukan")</f>
        <v>1000000</v>
      </c>
      <c r="I100" s="15">
        <f t="shared" si="15"/>
        <v>0</v>
      </c>
      <c r="J100" s="10">
        <f t="shared" si="16"/>
        <v>0</v>
      </c>
      <c r="K100" s="16">
        <f>IF(COUNTIF($B$6:B100,B100)=COUNTIF($B$6:$B$162,B100),1,0)</f>
        <v>1</v>
      </c>
      <c r="L100" s="10">
        <f t="shared" si="17"/>
        <v>999998</v>
      </c>
      <c r="M100" s="10">
        <f t="shared" si="18"/>
        <v>2</v>
      </c>
      <c r="N100" s="10">
        <f t="shared" si="19"/>
        <v>2</v>
      </c>
      <c r="O100" s="16" t="str">
        <f t="shared" si="20"/>
        <v>OK</v>
      </c>
    </row>
    <row r="101" spans="2:15" x14ac:dyDescent="0.3">
      <c r="B101" s="14" t="s">
        <v>116</v>
      </c>
      <c r="C101" s="14" t="s">
        <v>64</v>
      </c>
      <c r="D101" s="14" t="s">
        <v>111</v>
      </c>
      <c r="E101" s="19">
        <v>1</v>
      </c>
      <c r="F101" s="18">
        <f t="shared" si="14"/>
        <v>14</v>
      </c>
      <c r="G101" s="20" t="s">
        <v>29</v>
      </c>
      <c r="H101" s="10">
        <f>IFERROR(VLOOKUP(G101,Tarif_Plan!$B$5:$G$10,6,FALSE()),"Kelas tdk ditemukan")</f>
        <v>1000000</v>
      </c>
      <c r="I101" s="15">
        <f t="shared" si="15"/>
        <v>7.1428571428571425E-2</v>
      </c>
      <c r="J101" s="10">
        <f t="shared" si="16"/>
        <v>71429</v>
      </c>
      <c r="K101" s="16">
        <f>IF(COUNTIF($B$6:B101,B101)=COUNTIF($B$6:$B$162,B101),1,0)</f>
        <v>0</v>
      </c>
      <c r="L101" s="10">
        <f t="shared" si="17"/>
        <v>1000001</v>
      </c>
      <c r="M101" s="10">
        <f t="shared" si="18"/>
        <v>-1</v>
      </c>
      <c r="N101" s="10">
        <f t="shared" si="19"/>
        <v>71429</v>
      </c>
      <c r="O101" s="16" t="str">
        <f t="shared" si="20"/>
        <v>OK</v>
      </c>
    </row>
    <row r="102" spans="2:15" x14ac:dyDescent="0.3">
      <c r="B102" s="14" t="s">
        <v>116</v>
      </c>
      <c r="C102" s="14" t="s">
        <v>100</v>
      </c>
      <c r="D102" s="14" t="s">
        <v>112</v>
      </c>
      <c r="E102" s="19">
        <v>2</v>
      </c>
      <c r="F102" s="18">
        <f t="shared" ref="F102:F133" si="21">SUMIF($B$6:$B$162,B102,$E$6:$E$162)</f>
        <v>14</v>
      </c>
      <c r="G102" s="20" t="s">
        <v>29</v>
      </c>
      <c r="H102" s="10">
        <f>IFERROR(VLOOKUP(G102,Tarif_Plan!$B$5:$G$10,6,FALSE()),"Kelas tdk ditemukan")</f>
        <v>1000000</v>
      </c>
      <c r="I102" s="15">
        <f t="shared" ref="I102:I133" si="22">IF(F102=0,0,E102/F102)</f>
        <v>0.14285714285714285</v>
      </c>
      <c r="J102" s="10">
        <f t="shared" ref="J102:J133" si="23">ROUND(I102*H102,0)</f>
        <v>142857</v>
      </c>
      <c r="K102" s="16">
        <f>IF(COUNTIF($B$6:B102,B102)=COUNTIF($B$6:$B$162,B102),1,0)</f>
        <v>0</v>
      </c>
      <c r="L102" s="10">
        <f t="shared" ref="L102:L133" si="24">SUMIF($B$6:$B$162,B102,$J$6:$J$162)</f>
        <v>1000001</v>
      </c>
      <c r="M102" s="10">
        <f t="shared" ref="M102:M133" si="25">H102-L102</f>
        <v>-1</v>
      </c>
      <c r="N102" s="10">
        <f t="shared" ref="N102:N133" si="26">IF(F102=0,0,J102+IF(K102=1,M102,0))</f>
        <v>142857</v>
      </c>
      <c r="O102" s="16" t="str">
        <f t="shared" ref="O102:O133" si="27">IF(F102=0,"POIN 0 - PERLU KEPUTUSAN MANUAL","OK")</f>
        <v>OK</v>
      </c>
    </row>
    <row r="103" spans="2:15" x14ac:dyDescent="0.3">
      <c r="B103" s="14" t="s">
        <v>116</v>
      </c>
      <c r="C103" s="14" t="s">
        <v>101</v>
      </c>
      <c r="D103" s="14" t="s">
        <v>113</v>
      </c>
      <c r="E103" s="19">
        <v>3</v>
      </c>
      <c r="F103" s="18">
        <f t="shared" si="21"/>
        <v>14</v>
      </c>
      <c r="G103" s="20" t="s">
        <v>29</v>
      </c>
      <c r="H103" s="10">
        <f>IFERROR(VLOOKUP(G103,Tarif_Plan!$B$5:$G$10,6,FALSE()),"Kelas tdk ditemukan")</f>
        <v>1000000</v>
      </c>
      <c r="I103" s="15">
        <f t="shared" si="22"/>
        <v>0.21428571428571427</v>
      </c>
      <c r="J103" s="10">
        <f t="shared" si="23"/>
        <v>214286</v>
      </c>
      <c r="K103" s="16">
        <f>IF(COUNTIF($B$6:B103,B103)=COUNTIF($B$6:$B$162,B103),1,0)</f>
        <v>0</v>
      </c>
      <c r="L103" s="10">
        <f t="shared" si="24"/>
        <v>1000001</v>
      </c>
      <c r="M103" s="10">
        <f t="shared" si="25"/>
        <v>-1</v>
      </c>
      <c r="N103" s="10">
        <f t="shared" si="26"/>
        <v>214286</v>
      </c>
      <c r="O103" s="16" t="str">
        <f t="shared" si="27"/>
        <v>OK</v>
      </c>
    </row>
    <row r="104" spans="2:15" x14ac:dyDescent="0.3">
      <c r="B104" s="14" t="s">
        <v>116</v>
      </c>
      <c r="C104" s="14" t="s">
        <v>102</v>
      </c>
      <c r="D104" s="14" t="s">
        <v>113</v>
      </c>
      <c r="E104" s="19">
        <v>3</v>
      </c>
      <c r="F104" s="18">
        <f t="shared" si="21"/>
        <v>14</v>
      </c>
      <c r="G104" s="20" t="s">
        <v>29</v>
      </c>
      <c r="H104" s="10">
        <f>IFERROR(VLOOKUP(G104,Tarif_Plan!$B$5:$G$10,6,FALSE()),"Kelas tdk ditemukan")</f>
        <v>1000000</v>
      </c>
      <c r="I104" s="15">
        <f t="shared" si="22"/>
        <v>0.21428571428571427</v>
      </c>
      <c r="J104" s="10">
        <f t="shared" si="23"/>
        <v>214286</v>
      </c>
      <c r="K104" s="16">
        <f>IF(COUNTIF($B$6:B104,B104)=COUNTIF($B$6:$B$162,B104),1,0)</f>
        <v>0</v>
      </c>
      <c r="L104" s="10">
        <f t="shared" si="24"/>
        <v>1000001</v>
      </c>
      <c r="M104" s="10">
        <f t="shared" si="25"/>
        <v>-1</v>
      </c>
      <c r="N104" s="10">
        <f t="shared" si="26"/>
        <v>214286</v>
      </c>
      <c r="O104" s="16" t="str">
        <f t="shared" si="27"/>
        <v>OK</v>
      </c>
    </row>
    <row r="105" spans="2:15" x14ac:dyDescent="0.3">
      <c r="B105" s="14" t="s">
        <v>116</v>
      </c>
      <c r="C105" s="14" t="s">
        <v>108</v>
      </c>
      <c r="D105" s="14" t="s">
        <v>109</v>
      </c>
      <c r="E105" s="19">
        <v>2</v>
      </c>
      <c r="F105" s="18">
        <f t="shared" si="21"/>
        <v>14</v>
      </c>
      <c r="G105" s="20" t="s">
        <v>29</v>
      </c>
      <c r="H105" s="10">
        <f>IFERROR(VLOOKUP(G105,Tarif_Plan!$B$5:$G$10,6,FALSE()),"Kelas tdk ditemukan")</f>
        <v>1000000</v>
      </c>
      <c r="I105" s="15">
        <f t="shared" si="22"/>
        <v>0.14285714285714285</v>
      </c>
      <c r="J105" s="10">
        <f t="shared" si="23"/>
        <v>142857</v>
      </c>
      <c r="K105" s="16">
        <f>IF(COUNTIF($B$6:B105,B105)=COUNTIF($B$6:$B$162,B105),1,0)</f>
        <v>0</v>
      </c>
      <c r="L105" s="10">
        <f t="shared" si="24"/>
        <v>1000001</v>
      </c>
      <c r="M105" s="10">
        <f t="shared" si="25"/>
        <v>-1</v>
      </c>
      <c r="N105" s="10">
        <f t="shared" si="26"/>
        <v>142857</v>
      </c>
      <c r="O105" s="16" t="str">
        <f t="shared" si="27"/>
        <v>OK</v>
      </c>
    </row>
    <row r="106" spans="2:15" x14ac:dyDescent="0.3">
      <c r="B106" s="14" t="s">
        <v>116</v>
      </c>
      <c r="C106" s="14" t="s">
        <v>114</v>
      </c>
      <c r="D106" s="14" t="s">
        <v>109</v>
      </c>
      <c r="E106" s="19">
        <v>3</v>
      </c>
      <c r="F106" s="18">
        <f t="shared" si="21"/>
        <v>14</v>
      </c>
      <c r="G106" s="20" t="s">
        <v>29</v>
      </c>
      <c r="H106" s="10">
        <f>IFERROR(VLOOKUP(G106,Tarif_Plan!$B$5:$G$10,6,FALSE()),"Kelas tdk ditemukan")</f>
        <v>1000000</v>
      </c>
      <c r="I106" s="15">
        <f t="shared" si="22"/>
        <v>0.21428571428571427</v>
      </c>
      <c r="J106" s="10">
        <f t="shared" si="23"/>
        <v>214286</v>
      </c>
      <c r="K106" s="16">
        <f>IF(COUNTIF($B$6:B106,B106)=COUNTIF($B$6:$B$162,B106),1,0)</f>
        <v>0</v>
      </c>
      <c r="L106" s="10">
        <f t="shared" si="24"/>
        <v>1000001</v>
      </c>
      <c r="M106" s="10">
        <f t="shared" si="25"/>
        <v>-1</v>
      </c>
      <c r="N106" s="10">
        <f t="shared" si="26"/>
        <v>214286</v>
      </c>
      <c r="O106" s="16" t="str">
        <f t="shared" si="27"/>
        <v>OK</v>
      </c>
    </row>
    <row r="107" spans="2:15" x14ac:dyDescent="0.3">
      <c r="B107" s="14" t="s">
        <v>116</v>
      </c>
      <c r="C107" s="14" t="s">
        <v>86</v>
      </c>
      <c r="D107" s="14" t="s">
        <v>115</v>
      </c>
      <c r="E107" s="19">
        <v>0</v>
      </c>
      <c r="F107" s="18">
        <f t="shared" si="21"/>
        <v>14</v>
      </c>
      <c r="G107" s="20" t="s">
        <v>29</v>
      </c>
      <c r="H107" s="10">
        <f>IFERROR(VLOOKUP(G107,Tarif_Plan!$B$5:$G$10,6,FALSE()),"Kelas tdk ditemukan")</f>
        <v>1000000</v>
      </c>
      <c r="I107" s="15">
        <f t="shared" si="22"/>
        <v>0</v>
      </c>
      <c r="J107" s="10">
        <f t="shared" si="23"/>
        <v>0</v>
      </c>
      <c r="K107" s="16">
        <f>IF(COUNTIF($B$6:B107,B107)=COUNTIF($B$6:$B$162,B107),1,0)</f>
        <v>1</v>
      </c>
      <c r="L107" s="10">
        <f t="shared" si="24"/>
        <v>1000001</v>
      </c>
      <c r="M107" s="10">
        <f t="shared" si="25"/>
        <v>-1</v>
      </c>
      <c r="N107" s="10">
        <f t="shared" si="26"/>
        <v>-1</v>
      </c>
      <c r="O107" s="16" t="str">
        <f t="shared" si="27"/>
        <v>OK</v>
      </c>
    </row>
    <row r="108" spans="2:15" x14ac:dyDescent="0.3">
      <c r="B108" s="14" t="s">
        <v>117</v>
      </c>
      <c r="C108" s="14" t="s">
        <v>66</v>
      </c>
      <c r="D108" s="14" t="s">
        <v>112</v>
      </c>
      <c r="E108" s="19">
        <v>4</v>
      </c>
      <c r="F108" s="18">
        <f t="shared" si="21"/>
        <v>31</v>
      </c>
      <c r="G108" s="20" t="s">
        <v>29</v>
      </c>
      <c r="H108" s="10">
        <f>IFERROR(VLOOKUP(G108,Tarif_Plan!$B$5:$G$10,6,FALSE()),"Kelas tdk ditemukan")</f>
        <v>1000000</v>
      </c>
      <c r="I108" s="15">
        <f t="shared" si="22"/>
        <v>0.12903225806451613</v>
      </c>
      <c r="J108" s="10">
        <f t="shared" si="23"/>
        <v>129032</v>
      </c>
      <c r="K108" s="16">
        <f>IF(COUNTIF($B$6:B108,B108)=COUNTIF($B$6:$B$162,B108),1,0)</f>
        <v>0</v>
      </c>
      <c r="L108" s="10">
        <f t="shared" si="24"/>
        <v>999999</v>
      </c>
      <c r="M108" s="10">
        <f t="shared" si="25"/>
        <v>1</v>
      </c>
      <c r="N108" s="10">
        <f t="shared" si="26"/>
        <v>129032</v>
      </c>
      <c r="O108" s="16" t="str">
        <f t="shared" si="27"/>
        <v>OK</v>
      </c>
    </row>
    <row r="109" spans="2:15" x14ac:dyDescent="0.3">
      <c r="B109" s="14" t="s">
        <v>117</v>
      </c>
      <c r="C109" s="14" t="s">
        <v>68</v>
      </c>
      <c r="D109" s="14" t="s">
        <v>112</v>
      </c>
      <c r="E109" s="19">
        <v>6</v>
      </c>
      <c r="F109" s="18">
        <f t="shared" si="21"/>
        <v>31</v>
      </c>
      <c r="G109" s="20" t="s">
        <v>29</v>
      </c>
      <c r="H109" s="10">
        <f>IFERROR(VLOOKUP(G109,Tarif_Plan!$B$5:$G$10,6,FALSE()),"Kelas tdk ditemukan")</f>
        <v>1000000</v>
      </c>
      <c r="I109" s="15">
        <f t="shared" si="22"/>
        <v>0.19354838709677419</v>
      </c>
      <c r="J109" s="10">
        <f t="shared" si="23"/>
        <v>193548</v>
      </c>
      <c r="K109" s="16">
        <f>IF(COUNTIF($B$6:B109,B109)=COUNTIF($B$6:$B$162,B109),1,0)</f>
        <v>0</v>
      </c>
      <c r="L109" s="10">
        <f t="shared" si="24"/>
        <v>999999</v>
      </c>
      <c r="M109" s="10">
        <f t="shared" si="25"/>
        <v>1</v>
      </c>
      <c r="N109" s="10">
        <f t="shared" si="26"/>
        <v>193548</v>
      </c>
      <c r="O109" s="16" t="str">
        <f t="shared" si="27"/>
        <v>OK</v>
      </c>
    </row>
    <row r="110" spans="2:15" x14ac:dyDescent="0.3">
      <c r="B110" s="14" t="s">
        <v>117</v>
      </c>
      <c r="C110" s="14" t="s">
        <v>69</v>
      </c>
      <c r="D110" s="14" t="s">
        <v>113</v>
      </c>
      <c r="E110" s="19">
        <v>6</v>
      </c>
      <c r="F110" s="18">
        <f t="shared" si="21"/>
        <v>31</v>
      </c>
      <c r="G110" s="20" t="s">
        <v>29</v>
      </c>
      <c r="H110" s="10">
        <f>IFERROR(VLOOKUP(G110,Tarif_Plan!$B$5:$G$10,6,FALSE()),"Kelas tdk ditemukan")</f>
        <v>1000000</v>
      </c>
      <c r="I110" s="15">
        <f t="shared" si="22"/>
        <v>0.19354838709677419</v>
      </c>
      <c r="J110" s="10">
        <f t="shared" si="23"/>
        <v>193548</v>
      </c>
      <c r="K110" s="16">
        <f>IF(COUNTIF($B$6:B110,B110)=COUNTIF($B$6:$B$162,B110),1,0)</f>
        <v>0</v>
      </c>
      <c r="L110" s="10">
        <f t="shared" si="24"/>
        <v>999999</v>
      </c>
      <c r="M110" s="10">
        <f t="shared" si="25"/>
        <v>1</v>
      </c>
      <c r="N110" s="10">
        <f t="shared" si="26"/>
        <v>193548</v>
      </c>
      <c r="O110" s="16" t="str">
        <f t="shared" si="27"/>
        <v>OK</v>
      </c>
    </row>
    <row r="111" spans="2:15" x14ac:dyDescent="0.3">
      <c r="B111" s="14" t="s">
        <v>117</v>
      </c>
      <c r="C111" s="14" t="s">
        <v>71</v>
      </c>
      <c r="D111" s="14" t="s">
        <v>109</v>
      </c>
      <c r="E111" s="19">
        <v>8</v>
      </c>
      <c r="F111" s="18">
        <f t="shared" si="21"/>
        <v>31</v>
      </c>
      <c r="G111" s="20" t="s">
        <v>29</v>
      </c>
      <c r="H111" s="10">
        <f>IFERROR(VLOOKUP(G111,Tarif_Plan!$B$5:$G$10,6,FALSE()),"Kelas tdk ditemukan")</f>
        <v>1000000</v>
      </c>
      <c r="I111" s="15">
        <f t="shared" si="22"/>
        <v>0.25806451612903225</v>
      </c>
      <c r="J111" s="10">
        <f t="shared" si="23"/>
        <v>258065</v>
      </c>
      <c r="K111" s="16">
        <f>IF(COUNTIF($B$6:B111,B111)=COUNTIF($B$6:$B$162,B111),1,0)</f>
        <v>0</v>
      </c>
      <c r="L111" s="10">
        <f t="shared" si="24"/>
        <v>999999</v>
      </c>
      <c r="M111" s="10">
        <f t="shared" si="25"/>
        <v>1</v>
      </c>
      <c r="N111" s="10">
        <f t="shared" si="26"/>
        <v>258065</v>
      </c>
      <c r="O111" s="16" t="str">
        <f t="shared" si="27"/>
        <v>OK</v>
      </c>
    </row>
    <row r="112" spans="2:15" x14ac:dyDescent="0.3">
      <c r="B112" s="14" t="s">
        <v>117</v>
      </c>
      <c r="C112" s="14" t="s">
        <v>93</v>
      </c>
      <c r="D112" s="14" t="s">
        <v>109</v>
      </c>
      <c r="E112" s="19">
        <v>2</v>
      </c>
      <c r="F112" s="18">
        <f t="shared" si="21"/>
        <v>31</v>
      </c>
      <c r="G112" s="20" t="s">
        <v>29</v>
      </c>
      <c r="H112" s="10">
        <f>IFERROR(VLOOKUP(G112,Tarif_Plan!$B$5:$G$10,6,FALSE()),"Kelas tdk ditemukan")</f>
        <v>1000000</v>
      </c>
      <c r="I112" s="15">
        <f t="shared" si="22"/>
        <v>6.4516129032258063E-2</v>
      </c>
      <c r="J112" s="10">
        <f t="shared" si="23"/>
        <v>64516</v>
      </c>
      <c r="K112" s="16">
        <f>IF(COUNTIF($B$6:B112,B112)=COUNTIF($B$6:$B$162,B112),1,0)</f>
        <v>0</v>
      </c>
      <c r="L112" s="10">
        <f t="shared" si="24"/>
        <v>999999</v>
      </c>
      <c r="M112" s="10">
        <f t="shared" si="25"/>
        <v>1</v>
      </c>
      <c r="N112" s="10">
        <f t="shared" si="26"/>
        <v>64516</v>
      </c>
      <c r="O112" s="16" t="str">
        <f t="shared" si="27"/>
        <v>OK</v>
      </c>
    </row>
    <row r="113" spans="2:15" x14ac:dyDescent="0.3">
      <c r="B113" s="14" t="s">
        <v>117</v>
      </c>
      <c r="C113" s="14" t="s">
        <v>82</v>
      </c>
      <c r="D113" s="14" t="s">
        <v>109</v>
      </c>
      <c r="E113" s="19">
        <v>2</v>
      </c>
      <c r="F113" s="18">
        <f t="shared" si="21"/>
        <v>31</v>
      </c>
      <c r="G113" s="20" t="s">
        <v>29</v>
      </c>
      <c r="H113" s="10">
        <f>IFERROR(VLOOKUP(G113,Tarif_Plan!$B$5:$G$10,6,FALSE()),"Kelas tdk ditemukan")</f>
        <v>1000000</v>
      </c>
      <c r="I113" s="15">
        <f t="shared" si="22"/>
        <v>6.4516129032258063E-2</v>
      </c>
      <c r="J113" s="10">
        <f t="shared" si="23"/>
        <v>64516</v>
      </c>
      <c r="K113" s="16">
        <f>IF(COUNTIF($B$6:B113,B113)=COUNTIF($B$6:$B$162,B113),1,0)</f>
        <v>0</v>
      </c>
      <c r="L113" s="10">
        <f t="shared" si="24"/>
        <v>999999</v>
      </c>
      <c r="M113" s="10">
        <f t="shared" si="25"/>
        <v>1</v>
      </c>
      <c r="N113" s="10">
        <f t="shared" si="26"/>
        <v>64516</v>
      </c>
      <c r="O113" s="16" t="str">
        <f t="shared" si="27"/>
        <v>OK</v>
      </c>
    </row>
    <row r="114" spans="2:15" x14ac:dyDescent="0.3">
      <c r="B114" s="14" t="s">
        <v>117</v>
      </c>
      <c r="C114" s="14" t="s">
        <v>97</v>
      </c>
      <c r="D114" s="14" t="s">
        <v>72</v>
      </c>
      <c r="E114" s="19">
        <v>1</v>
      </c>
      <c r="F114" s="18">
        <f t="shared" si="21"/>
        <v>31</v>
      </c>
      <c r="G114" s="20" t="s">
        <v>29</v>
      </c>
      <c r="H114" s="10">
        <f>IFERROR(VLOOKUP(G114,Tarif_Plan!$B$5:$G$10,6,FALSE()),"Kelas tdk ditemukan")</f>
        <v>1000000</v>
      </c>
      <c r="I114" s="15">
        <f t="shared" si="22"/>
        <v>3.2258064516129031E-2</v>
      </c>
      <c r="J114" s="10">
        <f t="shared" si="23"/>
        <v>32258</v>
      </c>
      <c r="K114" s="16">
        <f>IF(COUNTIF($B$6:B114,B114)=COUNTIF($B$6:$B$162,B114),1,0)</f>
        <v>0</v>
      </c>
      <c r="L114" s="10">
        <f t="shared" si="24"/>
        <v>999999</v>
      </c>
      <c r="M114" s="10">
        <f t="shared" si="25"/>
        <v>1</v>
      </c>
      <c r="N114" s="10">
        <f t="shared" si="26"/>
        <v>32258</v>
      </c>
      <c r="O114" s="16" t="str">
        <f t="shared" si="27"/>
        <v>OK</v>
      </c>
    </row>
    <row r="115" spans="2:15" x14ac:dyDescent="0.3">
      <c r="B115" s="14" t="s">
        <v>117</v>
      </c>
      <c r="C115" s="14" t="s">
        <v>104</v>
      </c>
      <c r="D115" s="14" t="s">
        <v>113</v>
      </c>
      <c r="E115" s="19">
        <v>2</v>
      </c>
      <c r="F115" s="18">
        <f t="shared" si="21"/>
        <v>31</v>
      </c>
      <c r="G115" s="20" t="s">
        <v>29</v>
      </c>
      <c r="H115" s="10">
        <f>IFERROR(VLOOKUP(G115,Tarif_Plan!$B$5:$G$10,6,FALSE()),"Kelas tdk ditemukan")</f>
        <v>1000000</v>
      </c>
      <c r="I115" s="15">
        <f t="shared" si="22"/>
        <v>6.4516129032258063E-2</v>
      </c>
      <c r="J115" s="10">
        <f t="shared" si="23"/>
        <v>64516</v>
      </c>
      <c r="K115" s="16">
        <f>IF(COUNTIF($B$6:B115,B115)=COUNTIF($B$6:$B$162,B115),1,0)</f>
        <v>0</v>
      </c>
      <c r="L115" s="10">
        <f t="shared" si="24"/>
        <v>999999</v>
      </c>
      <c r="M115" s="10">
        <f t="shared" si="25"/>
        <v>1</v>
      </c>
      <c r="N115" s="10">
        <f t="shared" si="26"/>
        <v>64516</v>
      </c>
      <c r="O115" s="16" t="str">
        <f t="shared" si="27"/>
        <v>OK</v>
      </c>
    </row>
    <row r="116" spans="2:15" x14ac:dyDescent="0.3">
      <c r="B116" s="14" t="s">
        <v>117</v>
      </c>
      <c r="C116" s="14" t="s">
        <v>76</v>
      </c>
      <c r="D116" s="14" t="s">
        <v>118</v>
      </c>
      <c r="E116" s="19">
        <v>0</v>
      </c>
      <c r="F116" s="18">
        <f t="shared" si="21"/>
        <v>31</v>
      </c>
      <c r="G116" s="20" t="s">
        <v>29</v>
      </c>
      <c r="H116" s="10">
        <f>IFERROR(VLOOKUP(G116,Tarif_Plan!$B$5:$G$10,6,FALSE()),"Kelas tdk ditemukan")</f>
        <v>1000000</v>
      </c>
      <c r="I116" s="15">
        <f t="shared" si="22"/>
        <v>0</v>
      </c>
      <c r="J116" s="10">
        <f t="shared" si="23"/>
        <v>0</v>
      </c>
      <c r="K116" s="16">
        <f>IF(COUNTIF($B$6:B116,B116)=COUNTIF($B$6:$B$162,B116),1,0)</f>
        <v>1</v>
      </c>
      <c r="L116" s="10">
        <f t="shared" si="24"/>
        <v>999999</v>
      </c>
      <c r="M116" s="10">
        <f t="shared" si="25"/>
        <v>1</v>
      </c>
      <c r="N116" s="10">
        <f t="shared" si="26"/>
        <v>1</v>
      </c>
      <c r="O116" s="16" t="str">
        <f t="shared" si="27"/>
        <v>OK</v>
      </c>
    </row>
    <row r="117" spans="2:15" x14ac:dyDescent="0.3">
      <c r="B117" s="14" t="s">
        <v>119</v>
      </c>
      <c r="C117" s="14" t="s">
        <v>66</v>
      </c>
      <c r="D117" s="14" t="s">
        <v>112</v>
      </c>
      <c r="E117" s="19">
        <v>3</v>
      </c>
      <c r="F117" s="18">
        <f t="shared" si="21"/>
        <v>15</v>
      </c>
      <c r="G117" s="20" t="s">
        <v>29</v>
      </c>
      <c r="H117" s="10">
        <f>IFERROR(VLOOKUP(G117,Tarif_Plan!$B$5:$G$10,6,FALSE()),"Kelas tdk ditemukan")</f>
        <v>1000000</v>
      </c>
      <c r="I117" s="15">
        <f t="shared" si="22"/>
        <v>0.2</v>
      </c>
      <c r="J117" s="10">
        <f t="shared" si="23"/>
        <v>200000</v>
      </c>
      <c r="K117" s="16">
        <f>IF(COUNTIF($B$6:B117,B117)=COUNTIF($B$6:$B$162,B117),1,0)</f>
        <v>0</v>
      </c>
      <c r="L117" s="10">
        <f t="shared" si="24"/>
        <v>1000000</v>
      </c>
      <c r="M117" s="10">
        <f t="shared" si="25"/>
        <v>0</v>
      </c>
      <c r="N117" s="10">
        <f t="shared" si="26"/>
        <v>200000</v>
      </c>
      <c r="O117" s="16" t="str">
        <f t="shared" si="27"/>
        <v>OK</v>
      </c>
    </row>
    <row r="118" spans="2:15" x14ac:dyDescent="0.3">
      <c r="B118" s="14" t="s">
        <v>119</v>
      </c>
      <c r="C118" s="14" t="s">
        <v>68</v>
      </c>
      <c r="D118" s="14" t="s">
        <v>112</v>
      </c>
      <c r="E118" s="19">
        <v>3</v>
      </c>
      <c r="F118" s="18">
        <f t="shared" si="21"/>
        <v>15</v>
      </c>
      <c r="G118" s="20" t="s">
        <v>29</v>
      </c>
      <c r="H118" s="10">
        <f>IFERROR(VLOOKUP(G118,Tarif_Plan!$B$5:$G$10,6,FALSE()),"Kelas tdk ditemukan")</f>
        <v>1000000</v>
      </c>
      <c r="I118" s="15">
        <f t="shared" si="22"/>
        <v>0.2</v>
      </c>
      <c r="J118" s="10">
        <f t="shared" si="23"/>
        <v>200000</v>
      </c>
      <c r="K118" s="16">
        <f>IF(COUNTIF($B$6:B118,B118)=COUNTIF($B$6:$B$162,B118),1,0)</f>
        <v>0</v>
      </c>
      <c r="L118" s="10">
        <f t="shared" si="24"/>
        <v>1000000</v>
      </c>
      <c r="M118" s="10">
        <f t="shared" si="25"/>
        <v>0</v>
      </c>
      <c r="N118" s="10">
        <f t="shared" si="26"/>
        <v>200000</v>
      </c>
      <c r="O118" s="16" t="str">
        <f t="shared" si="27"/>
        <v>OK</v>
      </c>
    </row>
    <row r="119" spans="2:15" x14ac:dyDescent="0.3">
      <c r="B119" s="14" t="s">
        <v>119</v>
      </c>
      <c r="C119" s="14" t="s">
        <v>69</v>
      </c>
      <c r="D119" s="14" t="s">
        <v>113</v>
      </c>
      <c r="E119" s="19">
        <v>3</v>
      </c>
      <c r="F119" s="18">
        <f t="shared" si="21"/>
        <v>15</v>
      </c>
      <c r="G119" s="20" t="s">
        <v>29</v>
      </c>
      <c r="H119" s="10">
        <f>IFERROR(VLOOKUP(G119,Tarif_Plan!$B$5:$G$10,6,FALSE()),"Kelas tdk ditemukan")</f>
        <v>1000000</v>
      </c>
      <c r="I119" s="15">
        <f t="shared" si="22"/>
        <v>0.2</v>
      </c>
      <c r="J119" s="10">
        <f t="shared" si="23"/>
        <v>200000</v>
      </c>
      <c r="K119" s="16">
        <f>IF(COUNTIF($B$6:B119,B119)=COUNTIF($B$6:$B$162,B119),1,0)</f>
        <v>0</v>
      </c>
      <c r="L119" s="10">
        <f t="shared" si="24"/>
        <v>1000000</v>
      </c>
      <c r="M119" s="10">
        <f t="shared" si="25"/>
        <v>0</v>
      </c>
      <c r="N119" s="10">
        <f t="shared" si="26"/>
        <v>200000</v>
      </c>
      <c r="O119" s="16" t="str">
        <f t="shared" si="27"/>
        <v>OK</v>
      </c>
    </row>
    <row r="120" spans="2:15" x14ac:dyDescent="0.3">
      <c r="B120" s="14" t="s">
        <v>119</v>
      </c>
      <c r="C120" s="14" t="s">
        <v>71</v>
      </c>
      <c r="D120" s="14" t="s">
        <v>109</v>
      </c>
      <c r="E120" s="19">
        <v>6</v>
      </c>
      <c r="F120" s="18">
        <f t="shared" si="21"/>
        <v>15</v>
      </c>
      <c r="G120" s="20" t="s">
        <v>29</v>
      </c>
      <c r="H120" s="10">
        <f>IFERROR(VLOOKUP(G120,Tarif_Plan!$B$5:$G$10,6,FALSE()),"Kelas tdk ditemukan")</f>
        <v>1000000</v>
      </c>
      <c r="I120" s="15">
        <f t="shared" si="22"/>
        <v>0.4</v>
      </c>
      <c r="J120" s="10">
        <f t="shared" si="23"/>
        <v>400000</v>
      </c>
      <c r="K120" s="16">
        <f>IF(COUNTIF($B$6:B120,B120)=COUNTIF($B$6:$B$162,B120),1,0)</f>
        <v>1</v>
      </c>
      <c r="L120" s="10">
        <f t="shared" si="24"/>
        <v>1000000</v>
      </c>
      <c r="M120" s="10">
        <f t="shared" si="25"/>
        <v>0</v>
      </c>
      <c r="N120" s="10">
        <f t="shared" si="26"/>
        <v>400000</v>
      </c>
      <c r="O120" s="16" t="str">
        <f t="shared" si="27"/>
        <v>OK</v>
      </c>
    </row>
    <row r="121" spans="2:15" x14ac:dyDescent="0.3">
      <c r="B121" s="14" t="s">
        <v>120</v>
      </c>
      <c r="C121" s="14" t="s">
        <v>66</v>
      </c>
      <c r="D121" s="14" t="s">
        <v>112</v>
      </c>
      <c r="E121" s="19">
        <v>3</v>
      </c>
      <c r="F121" s="18">
        <f t="shared" si="21"/>
        <v>23</v>
      </c>
      <c r="G121" s="20" t="s">
        <v>28</v>
      </c>
      <c r="H121" s="10">
        <f>IFERROR(VLOOKUP(G121,Tarif_Plan!$B$5:$G$10,6,FALSE()),"Kelas tdk ditemukan")</f>
        <v>2000000</v>
      </c>
      <c r="I121" s="15">
        <f t="shared" si="22"/>
        <v>0.13043478260869565</v>
      </c>
      <c r="J121" s="10">
        <f t="shared" si="23"/>
        <v>260870</v>
      </c>
      <c r="K121" s="16">
        <f>IF(COUNTIF($B$6:B121,B121)=COUNTIF($B$6:$B$162,B121),1,0)</f>
        <v>0</v>
      </c>
      <c r="L121" s="10">
        <f t="shared" si="24"/>
        <v>2000001</v>
      </c>
      <c r="M121" s="10">
        <f t="shared" si="25"/>
        <v>-1</v>
      </c>
      <c r="N121" s="10">
        <f t="shared" si="26"/>
        <v>260870</v>
      </c>
      <c r="O121" s="16" t="str">
        <f t="shared" si="27"/>
        <v>OK</v>
      </c>
    </row>
    <row r="122" spans="2:15" x14ac:dyDescent="0.3">
      <c r="B122" s="14" t="s">
        <v>120</v>
      </c>
      <c r="C122" s="14" t="s">
        <v>68</v>
      </c>
      <c r="D122" s="14" t="s">
        <v>112</v>
      </c>
      <c r="E122" s="19">
        <v>2</v>
      </c>
      <c r="F122" s="18">
        <f t="shared" si="21"/>
        <v>23</v>
      </c>
      <c r="G122" s="20" t="s">
        <v>28</v>
      </c>
      <c r="H122" s="10">
        <f>IFERROR(VLOOKUP(G122,Tarif_Plan!$B$5:$G$10,6,FALSE()),"Kelas tdk ditemukan")</f>
        <v>2000000</v>
      </c>
      <c r="I122" s="15">
        <f t="shared" si="22"/>
        <v>8.6956521739130432E-2</v>
      </c>
      <c r="J122" s="10">
        <f t="shared" si="23"/>
        <v>173913</v>
      </c>
      <c r="K122" s="16">
        <f>IF(COUNTIF($B$6:B122,B122)=COUNTIF($B$6:$B$162,B122),1,0)</f>
        <v>0</v>
      </c>
      <c r="L122" s="10">
        <f t="shared" si="24"/>
        <v>2000001</v>
      </c>
      <c r="M122" s="10">
        <f t="shared" si="25"/>
        <v>-1</v>
      </c>
      <c r="N122" s="10">
        <f t="shared" si="26"/>
        <v>173913</v>
      </c>
      <c r="O122" s="16" t="str">
        <f t="shared" si="27"/>
        <v>OK</v>
      </c>
    </row>
    <row r="123" spans="2:15" x14ac:dyDescent="0.3">
      <c r="B123" s="14" t="s">
        <v>120</v>
      </c>
      <c r="C123" s="14" t="s">
        <v>69</v>
      </c>
      <c r="D123" s="14" t="s">
        <v>113</v>
      </c>
      <c r="E123" s="19">
        <v>2</v>
      </c>
      <c r="F123" s="18">
        <f t="shared" si="21"/>
        <v>23</v>
      </c>
      <c r="G123" s="20" t="s">
        <v>28</v>
      </c>
      <c r="H123" s="10">
        <f>IFERROR(VLOOKUP(G123,Tarif_Plan!$B$5:$G$10,6,FALSE()),"Kelas tdk ditemukan")</f>
        <v>2000000</v>
      </c>
      <c r="I123" s="15">
        <f t="shared" si="22"/>
        <v>8.6956521739130432E-2</v>
      </c>
      <c r="J123" s="10">
        <f t="shared" si="23"/>
        <v>173913</v>
      </c>
      <c r="K123" s="16">
        <f>IF(COUNTIF($B$6:B123,B123)=COUNTIF($B$6:$B$162,B123),1,0)</f>
        <v>0</v>
      </c>
      <c r="L123" s="10">
        <f t="shared" si="24"/>
        <v>2000001</v>
      </c>
      <c r="M123" s="10">
        <f t="shared" si="25"/>
        <v>-1</v>
      </c>
      <c r="N123" s="10">
        <f t="shared" si="26"/>
        <v>173913</v>
      </c>
      <c r="O123" s="16" t="str">
        <f t="shared" si="27"/>
        <v>OK</v>
      </c>
    </row>
    <row r="124" spans="2:15" x14ac:dyDescent="0.3">
      <c r="B124" s="14" t="s">
        <v>120</v>
      </c>
      <c r="C124" s="14" t="s">
        <v>71</v>
      </c>
      <c r="D124" s="14" t="s">
        <v>109</v>
      </c>
      <c r="E124" s="19">
        <v>4</v>
      </c>
      <c r="F124" s="18">
        <f t="shared" si="21"/>
        <v>23</v>
      </c>
      <c r="G124" s="20" t="s">
        <v>28</v>
      </c>
      <c r="H124" s="10">
        <f>IFERROR(VLOOKUP(G124,Tarif_Plan!$B$5:$G$10,6,FALSE()),"Kelas tdk ditemukan")</f>
        <v>2000000</v>
      </c>
      <c r="I124" s="15">
        <f t="shared" si="22"/>
        <v>0.17391304347826086</v>
      </c>
      <c r="J124" s="10">
        <f t="shared" si="23"/>
        <v>347826</v>
      </c>
      <c r="K124" s="16">
        <f>IF(COUNTIF($B$6:B124,B124)=COUNTIF($B$6:$B$162,B124),1,0)</f>
        <v>0</v>
      </c>
      <c r="L124" s="10">
        <f t="shared" si="24"/>
        <v>2000001</v>
      </c>
      <c r="M124" s="10">
        <f t="shared" si="25"/>
        <v>-1</v>
      </c>
      <c r="N124" s="10">
        <f t="shared" si="26"/>
        <v>347826</v>
      </c>
      <c r="O124" s="16" t="str">
        <f t="shared" si="27"/>
        <v>OK</v>
      </c>
    </row>
    <row r="125" spans="2:15" x14ac:dyDescent="0.3">
      <c r="B125" s="14" t="s">
        <v>120</v>
      </c>
      <c r="C125" s="14" t="s">
        <v>96</v>
      </c>
      <c r="D125" s="14" t="s">
        <v>121</v>
      </c>
      <c r="E125" s="19">
        <v>3</v>
      </c>
      <c r="F125" s="18">
        <f t="shared" si="21"/>
        <v>23</v>
      </c>
      <c r="G125" s="20" t="s">
        <v>28</v>
      </c>
      <c r="H125" s="10">
        <f>IFERROR(VLOOKUP(G125,Tarif_Plan!$B$5:$G$10,6,FALSE()),"Kelas tdk ditemukan")</f>
        <v>2000000</v>
      </c>
      <c r="I125" s="15">
        <f t="shared" si="22"/>
        <v>0.13043478260869565</v>
      </c>
      <c r="J125" s="10">
        <f t="shared" si="23"/>
        <v>260870</v>
      </c>
      <c r="K125" s="16">
        <f>IF(COUNTIF($B$6:B125,B125)=COUNTIF($B$6:$B$162,B125),1,0)</f>
        <v>0</v>
      </c>
      <c r="L125" s="10">
        <f t="shared" si="24"/>
        <v>2000001</v>
      </c>
      <c r="M125" s="10">
        <f t="shared" si="25"/>
        <v>-1</v>
      </c>
      <c r="N125" s="10">
        <f t="shared" si="26"/>
        <v>260870</v>
      </c>
      <c r="O125" s="16" t="str">
        <f t="shared" si="27"/>
        <v>OK</v>
      </c>
    </row>
    <row r="126" spans="2:15" x14ac:dyDescent="0.3">
      <c r="B126" s="14" t="s">
        <v>120</v>
      </c>
      <c r="C126" s="14" t="s">
        <v>104</v>
      </c>
      <c r="D126" s="14" t="s">
        <v>113</v>
      </c>
      <c r="E126" s="19">
        <v>6</v>
      </c>
      <c r="F126" s="18">
        <f t="shared" si="21"/>
        <v>23</v>
      </c>
      <c r="G126" s="20" t="s">
        <v>28</v>
      </c>
      <c r="H126" s="10">
        <f>IFERROR(VLOOKUP(G126,Tarif_Plan!$B$5:$G$10,6,FALSE()),"Kelas tdk ditemukan")</f>
        <v>2000000</v>
      </c>
      <c r="I126" s="15">
        <f t="shared" si="22"/>
        <v>0.2608695652173913</v>
      </c>
      <c r="J126" s="10">
        <f t="shared" si="23"/>
        <v>521739</v>
      </c>
      <c r="K126" s="16">
        <f>IF(COUNTIF($B$6:B126,B126)=COUNTIF($B$6:$B$162,B126),1,0)</f>
        <v>0</v>
      </c>
      <c r="L126" s="10">
        <f t="shared" si="24"/>
        <v>2000001</v>
      </c>
      <c r="M126" s="10">
        <f t="shared" si="25"/>
        <v>-1</v>
      </c>
      <c r="N126" s="10">
        <f t="shared" si="26"/>
        <v>521739</v>
      </c>
      <c r="O126" s="16" t="str">
        <f t="shared" si="27"/>
        <v>OK</v>
      </c>
    </row>
    <row r="127" spans="2:15" x14ac:dyDescent="0.3">
      <c r="B127" s="14" t="s">
        <v>120</v>
      </c>
      <c r="C127" s="14" t="s">
        <v>97</v>
      </c>
      <c r="D127" s="14" t="s">
        <v>72</v>
      </c>
      <c r="E127" s="19">
        <v>3</v>
      </c>
      <c r="F127" s="18">
        <f t="shared" si="21"/>
        <v>23</v>
      </c>
      <c r="G127" s="20" t="s">
        <v>28</v>
      </c>
      <c r="H127" s="10">
        <f>IFERROR(VLOOKUP(G127,Tarif_Plan!$B$5:$G$10,6,FALSE()),"Kelas tdk ditemukan")</f>
        <v>2000000</v>
      </c>
      <c r="I127" s="15">
        <f t="shared" si="22"/>
        <v>0.13043478260869565</v>
      </c>
      <c r="J127" s="10">
        <f t="shared" si="23"/>
        <v>260870</v>
      </c>
      <c r="K127" s="16">
        <f>IF(COUNTIF($B$6:B127,B127)=COUNTIF($B$6:$B$162,B127),1,0)</f>
        <v>1</v>
      </c>
      <c r="L127" s="10">
        <f t="shared" si="24"/>
        <v>2000001</v>
      </c>
      <c r="M127" s="10">
        <f t="shared" si="25"/>
        <v>-1</v>
      </c>
      <c r="N127" s="10">
        <f t="shared" si="26"/>
        <v>260869</v>
      </c>
      <c r="O127" s="16" t="str">
        <f t="shared" si="27"/>
        <v>OK</v>
      </c>
    </row>
    <row r="128" spans="2:15" x14ac:dyDescent="0.3">
      <c r="B128" s="14" t="s">
        <v>122</v>
      </c>
      <c r="C128" s="14" t="s">
        <v>68</v>
      </c>
      <c r="D128" s="14" t="s">
        <v>112</v>
      </c>
      <c r="E128" s="19">
        <v>3</v>
      </c>
      <c r="F128" s="18">
        <f t="shared" si="21"/>
        <v>5</v>
      </c>
      <c r="G128" s="20" t="s">
        <v>29</v>
      </c>
      <c r="H128" s="10">
        <f>IFERROR(VLOOKUP(G128,Tarif_Plan!$B$5:$G$10,6,FALSE()),"Kelas tdk ditemukan")</f>
        <v>1000000</v>
      </c>
      <c r="I128" s="15">
        <f t="shared" si="22"/>
        <v>0.6</v>
      </c>
      <c r="J128" s="10">
        <f t="shared" si="23"/>
        <v>600000</v>
      </c>
      <c r="K128" s="16">
        <f>IF(COUNTIF($B$6:B128,B128)=COUNTIF($B$6:$B$162,B128),1,0)</f>
        <v>0</v>
      </c>
      <c r="L128" s="10">
        <f t="shared" si="24"/>
        <v>1000000</v>
      </c>
      <c r="M128" s="10">
        <f t="shared" si="25"/>
        <v>0</v>
      </c>
      <c r="N128" s="10">
        <f t="shared" si="26"/>
        <v>600000</v>
      </c>
      <c r="O128" s="16" t="str">
        <f t="shared" si="27"/>
        <v>OK</v>
      </c>
    </row>
    <row r="129" spans="2:15" x14ac:dyDescent="0.3">
      <c r="B129" s="14" t="s">
        <v>122</v>
      </c>
      <c r="C129" s="14" t="s">
        <v>78</v>
      </c>
      <c r="D129" s="14" t="s">
        <v>113</v>
      </c>
      <c r="E129" s="19">
        <v>2</v>
      </c>
      <c r="F129" s="18">
        <f t="shared" si="21"/>
        <v>5</v>
      </c>
      <c r="G129" s="20" t="s">
        <v>29</v>
      </c>
      <c r="H129" s="10">
        <f>IFERROR(VLOOKUP(G129,Tarif_Plan!$B$5:$G$10,6,FALSE()),"Kelas tdk ditemukan")</f>
        <v>1000000</v>
      </c>
      <c r="I129" s="15">
        <f t="shared" si="22"/>
        <v>0.4</v>
      </c>
      <c r="J129" s="10">
        <f t="shared" si="23"/>
        <v>400000</v>
      </c>
      <c r="K129" s="16">
        <f>IF(COUNTIF($B$6:B129,B129)=COUNTIF($B$6:$B$162,B129),1,0)</f>
        <v>1</v>
      </c>
      <c r="L129" s="10">
        <f t="shared" si="24"/>
        <v>1000000</v>
      </c>
      <c r="M129" s="10">
        <f t="shared" si="25"/>
        <v>0</v>
      </c>
      <c r="N129" s="10">
        <f t="shared" si="26"/>
        <v>400000</v>
      </c>
      <c r="O129" s="16" t="str">
        <f t="shared" si="27"/>
        <v>OK</v>
      </c>
    </row>
    <row r="130" spans="2:15" x14ac:dyDescent="0.3">
      <c r="B130" s="14" t="s">
        <v>123</v>
      </c>
      <c r="C130" s="14" t="s">
        <v>78</v>
      </c>
      <c r="D130" s="14" t="s">
        <v>113</v>
      </c>
      <c r="E130" s="19">
        <v>3</v>
      </c>
      <c r="F130" s="18">
        <f t="shared" si="21"/>
        <v>3</v>
      </c>
      <c r="G130" s="20" t="s">
        <v>29</v>
      </c>
      <c r="H130" s="10">
        <f>IFERROR(VLOOKUP(G130,Tarif_Plan!$B$5:$G$10,6,FALSE()),"Kelas tdk ditemukan")</f>
        <v>1000000</v>
      </c>
      <c r="I130" s="15">
        <f t="shared" si="22"/>
        <v>1</v>
      </c>
      <c r="J130" s="10">
        <f t="shared" si="23"/>
        <v>1000000</v>
      </c>
      <c r="K130" s="16">
        <f>IF(COUNTIF($B$6:B130,B130)=COUNTIF($B$6:$B$162,B130),1,0)</f>
        <v>0</v>
      </c>
      <c r="L130" s="10">
        <f t="shared" si="24"/>
        <v>1000000</v>
      </c>
      <c r="M130" s="10">
        <f t="shared" si="25"/>
        <v>0</v>
      </c>
      <c r="N130" s="10">
        <f t="shared" si="26"/>
        <v>1000000</v>
      </c>
      <c r="O130" s="16" t="str">
        <f t="shared" si="27"/>
        <v>OK</v>
      </c>
    </row>
    <row r="131" spans="2:15" x14ac:dyDescent="0.3">
      <c r="B131" s="14" t="s">
        <v>123</v>
      </c>
      <c r="C131" s="14" t="s">
        <v>86</v>
      </c>
      <c r="D131" s="14" t="s">
        <v>115</v>
      </c>
      <c r="E131" s="19">
        <v>0</v>
      </c>
      <c r="F131" s="18">
        <f t="shared" si="21"/>
        <v>3</v>
      </c>
      <c r="G131" s="20" t="s">
        <v>29</v>
      </c>
      <c r="H131" s="10">
        <f>IFERROR(VLOOKUP(G131,Tarif_Plan!$B$5:$G$10,6,FALSE()),"Kelas tdk ditemukan")</f>
        <v>1000000</v>
      </c>
      <c r="I131" s="15">
        <f t="shared" si="22"/>
        <v>0</v>
      </c>
      <c r="J131" s="10">
        <f t="shared" si="23"/>
        <v>0</v>
      </c>
      <c r="K131" s="16">
        <f>IF(COUNTIF($B$6:B131,B131)=COUNTIF($B$6:$B$162,B131),1,0)</f>
        <v>0</v>
      </c>
      <c r="L131" s="10">
        <f t="shared" si="24"/>
        <v>1000000</v>
      </c>
      <c r="M131" s="10">
        <f t="shared" si="25"/>
        <v>0</v>
      </c>
      <c r="N131" s="10">
        <f t="shared" si="26"/>
        <v>0</v>
      </c>
      <c r="O131" s="16" t="str">
        <f t="shared" si="27"/>
        <v>OK</v>
      </c>
    </row>
    <row r="132" spans="2:15" x14ac:dyDescent="0.3">
      <c r="B132" s="14" t="s">
        <v>123</v>
      </c>
      <c r="C132" s="14" t="s">
        <v>76</v>
      </c>
      <c r="D132" s="14" t="s">
        <v>118</v>
      </c>
      <c r="E132" s="19">
        <v>0</v>
      </c>
      <c r="F132" s="18">
        <f t="shared" si="21"/>
        <v>3</v>
      </c>
      <c r="G132" s="20" t="s">
        <v>29</v>
      </c>
      <c r="H132" s="10">
        <f>IFERROR(VLOOKUP(G132,Tarif_Plan!$B$5:$G$10,6,FALSE()),"Kelas tdk ditemukan")</f>
        <v>1000000</v>
      </c>
      <c r="I132" s="15">
        <f t="shared" si="22"/>
        <v>0</v>
      </c>
      <c r="J132" s="10">
        <f t="shared" si="23"/>
        <v>0</v>
      </c>
      <c r="K132" s="16">
        <f>IF(COUNTIF($B$6:B132,B132)=COUNTIF($B$6:$B$162,B132),1,0)</f>
        <v>1</v>
      </c>
      <c r="L132" s="10">
        <f t="shared" si="24"/>
        <v>1000000</v>
      </c>
      <c r="M132" s="10">
        <f t="shared" si="25"/>
        <v>0</v>
      </c>
      <c r="N132" s="10">
        <f t="shared" si="26"/>
        <v>0</v>
      </c>
      <c r="O132" s="16" t="str">
        <f t="shared" si="27"/>
        <v>OK</v>
      </c>
    </row>
    <row r="133" spans="2:15" x14ac:dyDescent="0.3">
      <c r="B133" s="14" t="s">
        <v>124</v>
      </c>
      <c r="C133" s="14" t="s">
        <v>66</v>
      </c>
      <c r="D133" s="14" t="s">
        <v>112</v>
      </c>
      <c r="E133" s="19">
        <v>4</v>
      </c>
      <c r="F133" s="18">
        <f t="shared" si="21"/>
        <v>4</v>
      </c>
      <c r="G133" s="20" t="s">
        <v>29</v>
      </c>
      <c r="H133" s="10">
        <f>IFERROR(VLOOKUP(G133,Tarif_Plan!$B$5:$G$10,6,FALSE()),"Kelas tdk ditemukan")</f>
        <v>1000000</v>
      </c>
      <c r="I133" s="15">
        <f t="shared" si="22"/>
        <v>1</v>
      </c>
      <c r="J133" s="10">
        <f t="shared" si="23"/>
        <v>1000000</v>
      </c>
      <c r="K133" s="16">
        <f>IF(COUNTIF($B$6:B133,B133)=COUNTIF($B$6:$B$162,B133),1,0)</f>
        <v>1</v>
      </c>
      <c r="L133" s="10">
        <f t="shared" si="24"/>
        <v>1000000</v>
      </c>
      <c r="M133" s="10">
        <f t="shared" si="25"/>
        <v>0</v>
      </c>
      <c r="N133" s="10">
        <f t="shared" si="26"/>
        <v>1000000</v>
      </c>
      <c r="O133" s="16" t="str">
        <f t="shared" si="27"/>
        <v>OK</v>
      </c>
    </row>
    <row r="134" spans="2:15" x14ac:dyDescent="0.3">
      <c r="B134" s="14" t="s">
        <v>125</v>
      </c>
      <c r="C134" s="14" t="s">
        <v>84</v>
      </c>
      <c r="D134" s="14" t="s">
        <v>111</v>
      </c>
      <c r="E134" s="19">
        <v>3</v>
      </c>
      <c r="F134" s="18">
        <f t="shared" ref="F134:F162" si="28">SUMIF($B$6:$B$162,B134,$E$6:$E$162)</f>
        <v>26</v>
      </c>
      <c r="G134" s="20" t="s">
        <v>29</v>
      </c>
      <c r="H134" s="10">
        <f>IFERROR(VLOOKUP(G134,Tarif_Plan!$B$5:$G$10,6,FALSE()),"Kelas tdk ditemukan")</f>
        <v>1000000</v>
      </c>
      <c r="I134" s="15">
        <f t="shared" ref="I134:I162" si="29">IF(F134=0,0,E134/F134)</f>
        <v>0.11538461538461539</v>
      </c>
      <c r="J134" s="10">
        <f t="shared" ref="J134:J165" si="30">ROUND(I134*H134,0)</f>
        <v>115385</v>
      </c>
      <c r="K134" s="16">
        <f>IF(COUNTIF($B$6:B134,B134)=COUNTIF($B$6:$B$162,B134),1,0)</f>
        <v>0</v>
      </c>
      <c r="L134" s="10">
        <f t="shared" ref="L134:L162" si="31">SUMIF($B$6:$B$162,B134,$J$6:$J$162)</f>
        <v>1000002</v>
      </c>
      <c r="M134" s="10">
        <f t="shared" ref="M134:M165" si="32">H134-L134</f>
        <v>-2</v>
      </c>
      <c r="N134" s="10">
        <f t="shared" ref="N134:N165" si="33">IF(F134=0,0,J134+IF(K134=1,M134,0))</f>
        <v>115385</v>
      </c>
      <c r="O134" s="16" t="str">
        <f t="shared" ref="O134:O162" si="34">IF(F134=0,"POIN 0 - PERLU KEPUTUSAN MANUAL","OK")</f>
        <v>OK</v>
      </c>
    </row>
    <row r="135" spans="2:15" x14ac:dyDescent="0.3">
      <c r="B135" s="14" t="s">
        <v>125</v>
      </c>
      <c r="C135" s="14" t="s">
        <v>78</v>
      </c>
      <c r="D135" s="14" t="s">
        <v>113</v>
      </c>
      <c r="E135" s="19">
        <v>3</v>
      </c>
      <c r="F135" s="18">
        <f t="shared" si="28"/>
        <v>26</v>
      </c>
      <c r="G135" s="20" t="s">
        <v>29</v>
      </c>
      <c r="H135" s="10">
        <f>IFERROR(VLOOKUP(G135,Tarif_Plan!$B$5:$G$10,6,FALSE()),"Kelas tdk ditemukan")</f>
        <v>1000000</v>
      </c>
      <c r="I135" s="15">
        <f t="shared" si="29"/>
        <v>0.11538461538461539</v>
      </c>
      <c r="J135" s="10">
        <f t="shared" si="30"/>
        <v>115385</v>
      </c>
      <c r="K135" s="16">
        <f>IF(COUNTIF($B$6:B135,B135)=COUNTIF($B$6:$B$162,B135),1,0)</f>
        <v>0</v>
      </c>
      <c r="L135" s="10">
        <f t="shared" si="31"/>
        <v>1000002</v>
      </c>
      <c r="M135" s="10">
        <f t="shared" si="32"/>
        <v>-2</v>
      </c>
      <c r="N135" s="10">
        <f t="shared" si="33"/>
        <v>115385</v>
      </c>
      <c r="O135" s="16" t="str">
        <f t="shared" si="34"/>
        <v>OK</v>
      </c>
    </row>
    <row r="136" spans="2:15" x14ac:dyDescent="0.3">
      <c r="B136" s="14" t="s">
        <v>125</v>
      </c>
      <c r="C136" s="14" t="s">
        <v>79</v>
      </c>
      <c r="D136" s="14" t="s">
        <v>113</v>
      </c>
      <c r="E136" s="19">
        <v>3</v>
      </c>
      <c r="F136" s="18">
        <f t="shared" si="28"/>
        <v>26</v>
      </c>
      <c r="G136" s="20" t="s">
        <v>29</v>
      </c>
      <c r="H136" s="10">
        <f>IFERROR(VLOOKUP(G136,Tarif_Plan!$B$5:$G$10,6,FALSE()),"Kelas tdk ditemukan")</f>
        <v>1000000</v>
      </c>
      <c r="I136" s="15">
        <f t="shared" si="29"/>
        <v>0.11538461538461539</v>
      </c>
      <c r="J136" s="10">
        <f t="shared" si="30"/>
        <v>115385</v>
      </c>
      <c r="K136" s="16">
        <f>IF(COUNTIF($B$6:B136,B136)=COUNTIF($B$6:$B$162,B136),1,0)</f>
        <v>0</v>
      </c>
      <c r="L136" s="10">
        <f t="shared" si="31"/>
        <v>1000002</v>
      </c>
      <c r="M136" s="10">
        <f t="shared" si="32"/>
        <v>-2</v>
      </c>
      <c r="N136" s="10">
        <f t="shared" si="33"/>
        <v>115385</v>
      </c>
      <c r="O136" s="16" t="str">
        <f t="shared" si="34"/>
        <v>OK</v>
      </c>
    </row>
    <row r="137" spans="2:15" x14ac:dyDescent="0.3">
      <c r="B137" s="14" t="s">
        <v>125</v>
      </c>
      <c r="C137" s="14" t="s">
        <v>80</v>
      </c>
      <c r="D137" s="14" t="s">
        <v>113</v>
      </c>
      <c r="E137" s="19">
        <v>3</v>
      </c>
      <c r="F137" s="18">
        <f t="shared" si="28"/>
        <v>26</v>
      </c>
      <c r="G137" s="20" t="s">
        <v>29</v>
      </c>
      <c r="H137" s="10">
        <f>IFERROR(VLOOKUP(G137,Tarif_Plan!$B$5:$G$10,6,FALSE()),"Kelas tdk ditemukan")</f>
        <v>1000000</v>
      </c>
      <c r="I137" s="15">
        <f t="shared" si="29"/>
        <v>0.11538461538461539</v>
      </c>
      <c r="J137" s="10">
        <f t="shared" si="30"/>
        <v>115385</v>
      </c>
      <c r="K137" s="16">
        <f>IF(COUNTIF($B$6:B137,B137)=COUNTIF($B$6:$B$162,B137),1,0)</f>
        <v>0</v>
      </c>
      <c r="L137" s="10">
        <f t="shared" si="31"/>
        <v>1000002</v>
      </c>
      <c r="M137" s="10">
        <f t="shared" si="32"/>
        <v>-2</v>
      </c>
      <c r="N137" s="10">
        <f t="shared" si="33"/>
        <v>115385</v>
      </c>
      <c r="O137" s="16" t="str">
        <f t="shared" si="34"/>
        <v>OK</v>
      </c>
    </row>
    <row r="138" spans="2:15" x14ac:dyDescent="0.3">
      <c r="B138" s="14" t="s">
        <v>125</v>
      </c>
      <c r="C138" s="14" t="s">
        <v>81</v>
      </c>
      <c r="D138" s="14" t="s">
        <v>109</v>
      </c>
      <c r="E138" s="19">
        <v>7</v>
      </c>
      <c r="F138" s="18">
        <f t="shared" si="28"/>
        <v>26</v>
      </c>
      <c r="G138" s="20" t="s">
        <v>29</v>
      </c>
      <c r="H138" s="10">
        <f>IFERROR(VLOOKUP(G138,Tarif_Plan!$B$5:$G$10,6,FALSE()),"Kelas tdk ditemukan")</f>
        <v>1000000</v>
      </c>
      <c r="I138" s="15">
        <f t="shared" si="29"/>
        <v>0.26923076923076922</v>
      </c>
      <c r="J138" s="10">
        <f t="shared" si="30"/>
        <v>269231</v>
      </c>
      <c r="K138" s="16">
        <f>IF(COUNTIF($B$6:B138,B138)=COUNTIF($B$6:$B$162,B138),1,0)</f>
        <v>0</v>
      </c>
      <c r="L138" s="10">
        <f t="shared" si="31"/>
        <v>1000002</v>
      </c>
      <c r="M138" s="10">
        <f t="shared" si="32"/>
        <v>-2</v>
      </c>
      <c r="N138" s="10">
        <f t="shared" si="33"/>
        <v>269231</v>
      </c>
      <c r="O138" s="16" t="str">
        <f t="shared" si="34"/>
        <v>OK</v>
      </c>
    </row>
    <row r="139" spans="2:15" x14ac:dyDescent="0.3">
      <c r="B139" s="14" t="s">
        <v>125</v>
      </c>
      <c r="C139" s="14" t="s">
        <v>82</v>
      </c>
      <c r="D139" s="14" t="s">
        <v>109</v>
      </c>
      <c r="E139" s="19">
        <v>7</v>
      </c>
      <c r="F139" s="18">
        <f t="shared" si="28"/>
        <v>26</v>
      </c>
      <c r="G139" s="20" t="s">
        <v>29</v>
      </c>
      <c r="H139" s="10">
        <f>IFERROR(VLOOKUP(G139,Tarif_Plan!$B$5:$G$10,6,FALSE()),"Kelas tdk ditemukan")</f>
        <v>1000000</v>
      </c>
      <c r="I139" s="15">
        <f t="shared" si="29"/>
        <v>0.26923076923076922</v>
      </c>
      <c r="J139" s="10">
        <f t="shared" si="30"/>
        <v>269231</v>
      </c>
      <c r="K139" s="16">
        <f>IF(COUNTIF($B$6:B139,B139)=COUNTIF($B$6:$B$162,B139),1,0)</f>
        <v>0</v>
      </c>
      <c r="L139" s="10">
        <f t="shared" si="31"/>
        <v>1000002</v>
      </c>
      <c r="M139" s="10">
        <f t="shared" si="32"/>
        <v>-2</v>
      </c>
      <c r="N139" s="10">
        <f t="shared" si="33"/>
        <v>269231</v>
      </c>
      <c r="O139" s="16" t="str">
        <f t="shared" si="34"/>
        <v>OK</v>
      </c>
    </row>
    <row r="140" spans="2:15" x14ac:dyDescent="0.3">
      <c r="B140" s="14" t="s">
        <v>125</v>
      </c>
      <c r="C140" s="14" t="s">
        <v>86</v>
      </c>
      <c r="D140" s="14" t="s">
        <v>115</v>
      </c>
      <c r="E140" s="19">
        <v>0</v>
      </c>
      <c r="F140" s="18">
        <f t="shared" si="28"/>
        <v>26</v>
      </c>
      <c r="G140" s="20" t="s">
        <v>29</v>
      </c>
      <c r="H140" s="10">
        <f>IFERROR(VLOOKUP(G140,Tarif_Plan!$B$5:$G$10,6,FALSE()),"Kelas tdk ditemukan")</f>
        <v>1000000</v>
      </c>
      <c r="I140" s="15">
        <f t="shared" si="29"/>
        <v>0</v>
      </c>
      <c r="J140" s="10">
        <f t="shared" si="30"/>
        <v>0</v>
      </c>
      <c r="K140" s="16">
        <f>IF(COUNTIF($B$6:B140,B140)=COUNTIF($B$6:$B$162,B140),1,0)</f>
        <v>1</v>
      </c>
      <c r="L140" s="10">
        <f t="shared" si="31"/>
        <v>1000002</v>
      </c>
      <c r="M140" s="10">
        <f t="shared" si="32"/>
        <v>-2</v>
      </c>
      <c r="N140" s="10">
        <f t="shared" si="33"/>
        <v>-2</v>
      </c>
      <c r="O140" s="16" t="str">
        <f t="shared" si="34"/>
        <v>OK</v>
      </c>
    </row>
    <row r="141" spans="2:15" x14ac:dyDescent="0.3">
      <c r="B141" s="14" t="s">
        <v>126</v>
      </c>
      <c r="C141" s="14" t="s">
        <v>77</v>
      </c>
      <c r="D141" s="14" t="s">
        <v>112</v>
      </c>
      <c r="E141" s="19">
        <v>2</v>
      </c>
      <c r="F141" s="18">
        <f t="shared" si="28"/>
        <v>18</v>
      </c>
      <c r="G141" s="20" t="s">
        <v>28</v>
      </c>
      <c r="H141" s="10">
        <f>IFERROR(VLOOKUP(G141,Tarif_Plan!$B$5:$G$10,6,FALSE()),"Kelas tdk ditemukan")</f>
        <v>2000000</v>
      </c>
      <c r="I141" s="15">
        <f t="shared" si="29"/>
        <v>0.1111111111111111</v>
      </c>
      <c r="J141" s="10">
        <f t="shared" si="30"/>
        <v>222222</v>
      </c>
      <c r="K141" s="16">
        <f>IF(COUNTIF($B$6:B141,B141)=COUNTIF($B$6:$B$162,B141),1,0)</f>
        <v>0</v>
      </c>
      <c r="L141" s="10">
        <f t="shared" si="31"/>
        <v>1999998</v>
      </c>
      <c r="M141" s="10">
        <f t="shared" si="32"/>
        <v>2</v>
      </c>
      <c r="N141" s="10">
        <f t="shared" si="33"/>
        <v>222222</v>
      </c>
      <c r="O141" s="16" t="str">
        <f t="shared" si="34"/>
        <v>OK</v>
      </c>
    </row>
    <row r="142" spans="2:15" x14ac:dyDescent="0.3">
      <c r="B142" s="14" t="s">
        <v>126</v>
      </c>
      <c r="C142" s="14" t="s">
        <v>78</v>
      </c>
      <c r="D142" s="14" t="s">
        <v>113</v>
      </c>
      <c r="E142" s="19">
        <v>4</v>
      </c>
      <c r="F142" s="18">
        <f t="shared" si="28"/>
        <v>18</v>
      </c>
      <c r="G142" s="20" t="s">
        <v>28</v>
      </c>
      <c r="H142" s="10">
        <f>IFERROR(VLOOKUP(G142,Tarif_Plan!$B$5:$G$10,6,FALSE()),"Kelas tdk ditemukan")</f>
        <v>2000000</v>
      </c>
      <c r="I142" s="15">
        <f t="shared" si="29"/>
        <v>0.22222222222222221</v>
      </c>
      <c r="J142" s="10">
        <f t="shared" si="30"/>
        <v>444444</v>
      </c>
      <c r="K142" s="16">
        <f>IF(COUNTIF($B$6:B142,B142)=COUNTIF($B$6:$B$162,B142),1,0)</f>
        <v>0</v>
      </c>
      <c r="L142" s="10">
        <f t="shared" si="31"/>
        <v>1999998</v>
      </c>
      <c r="M142" s="10">
        <f t="shared" si="32"/>
        <v>2</v>
      </c>
      <c r="N142" s="10">
        <f t="shared" si="33"/>
        <v>444444</v>
      </c>
      <c r="O142" s="16" t="str">
        <f t="shared" si="34"/>
        <v>OK</v>
      </c>
    </row>
    <row r="143" spans="2:15" x14ac:dyDescent="0.3">
      <c r="B143" s="14" t="s">
        <v>126</v>
      </c>
      <c r="C143" s="14" t="s">
        <v>79</v>
      </c>
      <c r="D143" s="14" t="s">
        <v>113</v>
      </c>
      <c r="E143" s="19">
        <v>3</v>
      </c>
      <c r="F143" s="18">
        <f t="shared" si="28"/>
        <v>18</v>
      </c>
      <c r="G143" s="20" t="s">
        <v>28</v>
      </c>
      <c r="H143" s="10">
        <f>IFERROR(VLOOKUP(G143,Tarif_Plan!$B$5:$G$10,6,FALSE()),"Kelas tdk ditemukan")</f>
        <v>2000000</v>
      </c>
      <c r="I143" s="15">
        <f t="shared" si="29"/>
        <v>0.16666666666666666</v>
      </c>
      <c r="J143" s="10">
        <f t="shared" si="30"/>
        <v>333333</v>
      </c>
      <c r="K143" s="16">
        <f>IF(COUNTIF($B$6:B143,B143)=COUNTIF($B$6:$B$162,B143),1,0)</f>
        <v>0</v>
      </c>
      <c r="L143" s="10">
        <f t="shared" si="31"/>
        <v>1999998</v>
      </c>
      <c r="M143" s="10">
        <f t="shared" si="32"/>
        <v>2</v>
      </c>
      <c r="N143" s="10">
        <f t="shared" si="33"/>
        <v>333333</v>
      </c>
      <c r="O143" s="16" t="str">
        <f t="shared" si="34"/>
        <v>OK</v>
      </c>
    </row>
    <row r="144" spans="2:15" x14ac:dyDescent="0.3">
      <c r="B144" s="14" t="s">
        <v>126</v>
      </c>
      <c r="C144" s="14" t="s">
        <v>80</v>
      </c>
      <c r="D144" s="14" t="s">
        <v>113</v>
      </c>
      <c r="E144" s="19">
        <v>3</v>
      </c>
      <c r="F144" s="18">
        <f t="shared" si="28"/>
        <v>18</v>
      </c>
      <c r="G144" s="20" t="s">
        <v>28</v>
      </c>
      <c r="H144" s="10">
        <f>IFERROR(VLOOKUP(G144,Tarif_Plan!$B$5:$G$10,6,FALSE()),"Kelas tdk ditemukan")</f>
        <v>2000000</v>
      </c>
      <c r="I144" s="15">
        <f t="shared" si="29"/>
        <v>0.16666666666666666</v>
      </c>
      <c r="J144" s="10">
        <f t="shared" si="30"/>
        <v>333333</v>
      </c>
      <c r="K144" s="16">
        <f>IF(COUNTIF($B$6:B144,B144)=COUNTIF($B$6:$B$162,B144),1,0)</f>
        <v>0</v>
      </c>
      <c r="L144" s="10">
        <f t="shared" si="31"/>
        <v>1999998</v>
      </c>
      <c r="M144" s="10">
        <f t="shared" si="32"/>
        <v>2</v>
      </c>
      <c r="N144" s="10">
        <f t="shared" si="33"/>
        <v>333333</v>
      </c>
      <c r="O144" s="16" t="str">
        <f t="shared" si="34"/>
        <v>OK</v>
      </c>
    </row>
    <row r="145" spans="2:15" x14ac:dyDescent="0.3">
      <c r="B145" s="14" t="s">
        <v>126</v>
      </c>
      <c r="C145" s="14" t="s">
        <v>81</v>
      </c>
      <c r="D145" s="14" t="s">
        <v>109</v>
      </c>
      <c r="E145" s="19">
        <v>2</v>
      </c>
      <c r="F145" s="18">
        <f t="shared" si="28"/>
        <v>18</v>
      </c>
      <c r="G145" s="20" t="s">
        <v>28</v>
      </c>
      <c r="H145" s="10">
        <f>IFERROR(VLOOKUP(G145,Tarif_Plan!$B$5:$G$10,6,FALSE()),"Kelas tdk ditemukan")</f>
        <v>2000000</v>
      </c>
      <c r="I145" s="15">
        <f t="shared" si="29"/>
        <v>0.1111111111111111</v>
      </c>
      <c r="J145" s="10">
        <f t="shared" si="30"/>
        <v>222222</v>
      </c>
      <c r="K145" s="16">
        <f>IF(COUNTIF($B$6:B145,B145)=COUNTIF($B$6:$B$162,B145),1,0)</f>
        <v>0</v>
      </c>
      <c r="L145" s="10">
        <f t="shared" si="31"/>
        <v>1999998</v>
      </c>
      <c r="M145" s="10">
        <f t="shared" si="32"/>
        <v>2</v>
      </c>
      <c r="N145" s="10">
        <f t="shared" si="33"/>
        <v>222222</v>
      </c>
      <c r="O145" s="16" t="str">
        <f t="shared" si="34"/>
        <v>OK</v>
      </c>
    </row>
    <row r="146" spans="2:15" x14ac:dyDescent="0.3">
      <c r="B146" s="14" t="s">
        <v>126</v>
      </c>
      <c r="C146" s="14" t="s">
        <v>82</v>
      </c>
      <c r="D146" s="14" t="s">
        <v>109</v>
      </c>
      <c r="E146" s="19">
        <v>4</v>
      </c>
      <c r="F146" s="18">
        <f t="shared" si="28"/>
        <v>18</v>
      </c>
      <c r="G146" s="20" t="s">
        <v>28</v>
      </c>
      <c r="H146" s="10">
        <f>IFERROR(VLOOKUP(G146,Tarif_Plan!$B$5:$G$10,6,FALSE()),"Kelas tdk ditemukan")</f>
        <v>2000000</v>
      </c>
      <c r="I146" s="15">
        <f t="shared" si="29"/>
        <v>0.22222222222222221</v>
      </c>
      <c r="J146" s="10">
        <f t="shared" si="30"/>
        <v>444444</v>
      </c>
      <c r="K146" s="16">
        <f>IF(COUNTIF($B$6:B146,B146)=COUNTIF($B$6:$B$162,B146),1,0)</f>
        <v>1</v>
      </c>
      <c r="L146" s="10">
        <f t="shared" si="31"/>
        <v>1999998</v>
      </c>
      <c r="M146" s="10">
        <f t="shared" si="32"/>
        <v>2</v>
      </c>
      <c r="N146" s="10">
        <f t="shared" si="33"/>
        <v>444446</v>
      </c>
      <c r="O146" s="16" t="str">
        <f t="shared" si="34"/>
        <v>OK</v>
      </c>
    </row>
    <row r="147" spans="2:15" x14ac:dyDescent="0.3">
      <c r="B147" s="14" t="s">
        <v>127</v>
      </c>
      <c r="C147" s="14" t="s">
        <v>84</v>
      </c>
      <c r="D147" s="14" t="s">
        <v>111</v>
      </c>
      <c r="E147" s="19">
        <v>2</v>
      </c>
      <c r="F147" s="18">
        <f t="shared" si="28"/>
        <v>17</v>
      </c>
      <c r="G147" s="20" t="s">
        <v>29</v>
      </c>
      <c r="H147" s="10">
        <f>IFERROR(VLOOKUP(G147,Tarif_Plan!$B$5:$G$10,6,FALSE()),"Kelas tdk ditemukan")</f>
        <v>1000000</v>
      </c>
      <c r="I147" s="15">
        <f t="shared" si="29"/>
        <v>0.11764705882352941</v>
      </c>
      <c r="J147" s="10">
        <f t="shared" si="30"/>
        <v>117647</v>
      </c>
      <c r="K147" s="16">
        <f>IF(COUNTIF($B$6:B147,B147)=COUNTIF($B$6:$B$162,B147),1,0)</f>
        <v>0</v>
      </c>
      <c r="L147" s="10">
        <f t="shared" si="31"/>
        <v>1000000</v>
      </c>
      <c r="M147" s="10">
        <f t="shared" si="32"/>
        <v>0</v>
      </c>
      <c r="N147" s="10">
        <f t="shared" si="33"/>
        <v>117647</v>
      </c>
      <c r="O147" s="16" t="str">
        <f t="shared" si="34"/>
        <v>OK</v>
      </c>
    </row>
    <row r="148" spans="2:15" x14ac:dyDescent="0.3">
      <c r="B148" s="14" t="s">
        <v>127</v>
      </c>
      <c r="C148" s="14" t="s">
        <v>77</v>
      </c>
      <c r="D148" s="14" t="s">
        <v>112</v>
      </c>
      <c r="E148" s="19">
        <v>3</v>
      </c>
      <c r="F148" s="18">
        <f t="shared" si="28"/>
        <v>17</v>
      </c>
      <c r="G148" s="20" t="s">
        <v>29</v>
      </c>
      <c r="H148" s="10">
        <f>IFERROR(VLOOKUP(G148,Tarif_Plan!$B$5:$G$10,6,FALSE()),"Kelas tdk ditemukan")</f>
        <v>1000000</v>
      </c>
      <c r="I148" s="15">
        <f t="shared" si="29"/>
        <v>0.17647058823529413</v>
      </c>
      <c r="J148" s="10">
        <f t="shared" si="30"/>
        <v>176471</v>
      </c>
      <c r="K148" s="16">
        <f>IF(COUNTIF($B$6:B148,B148)=COUNTIF($B$6:$B$162,B148),1,0)</f>
        <v>0</v>
      </c>
      <c r="L148" s="10">
        <f t="shared" si="31"/>
        <v>1000000</v>
      </c>
      <c r="M148" s="10">
        <f t="shared" si="32"/>
        <v>0</v>
      </c>
      <c r="N148" s="10">
        <f t="shared" si="33"/>
        <v>176471</v>
      </c>
      <c r="O148" s="16" t="str">
        <f t="shared" si="34"/>
        <v>OK</v>
      </c>
    </row>
    <row r="149" spans="2:15" x14ac:dyDescent="0.3">
      <c r="B149" s="14" t="s">
        <v>127</v>
      </c>
      <c r="C149" s="14" t="s">
        <v>80</v>
      </c>
      <c r="D149" s="14" t="s">
        <v>113</v>
      </c>
      <c r="E149" s="19">
        <v>4</v>
      </c>
      <c r="F149" s="18">
        <f t="shared" si="28"/>
        <v>17</v>
      </c>
      <c r="G149" s="20" t="s">
        <v>29</v>
      </c>
      <c r="H149" s="10">
        <f>IFERROR(VLOOKUP(G149,Tarif_Plan!$B$5:$G$10,6,FALSE()),"Kelas tdk ditemukan")</f>
        <v>1000000</v>
      </c>
      <c r="I149" s="15">
        <f t="shared" si="29"/>
        <v>0.23529411764705882</v>
      </c>
      <c r="J149" s="10">
        <f t="shared" si="30"/>
        <v>235294</v>
      </c>
      <c r="K149" s="16">
        <f>IF(COUNTIF($B$6:B149,B149)=COUNTIF($B$6:$B$162,B149),1,0)</f>
        <v>0</v>
      </c>
      <c r="L149" s="10">
        <f t="shared" si="31"/>
        <v>1000000</v>
      </c>
      <c r="M149" s="10">
        <f t="shared" si="32"/>
        <v>0</v>
      </c>
      <c r="N149" s="10">
        <f t="shared" si="33"/>
        <v>235294</v>
      </c>
      <c r="O149" s="16" t="str">
        <f t="shared" si="34"/>
        <v>OK</v>
      </c>
    </row>
    <row r="150" spans="2:15" x14ac:dyDescent="0.3">
      <c r="B150" s="14" t="s">
        <v>127</v>
      </c>
      <c r="C150" s="14" t="s">
        <v>81</v>
      </c>
      <c r="D150" s="14" t="s">
        <v>109</v>
      </c>
      <c r="E150" s="19">
        <v>4</v>
      </c>
      <c r="F150" s="18">
        <f t="shared" si="28"/>
        <v>17</v>
      </c>
      <c r="G150" s="20" t="s">
        <v>29</v>
      </c>
      <c r="H150" s="10">
        <f>IFERROR(VLOOKUP(G150,Tarif_Plan!$B$5:$G$10,6,FALSE()),"Kelas tdk ditemukan")</f>
        <v>1000000</v>
      </c>
      <c r="I150" s="15">
        <f t="shared" si="29"/>
        <v>0.23529411764705882</v>
      </c>
      <c r="J150" s="10">
        <f t="shared" si="30"/>
        <v>235294</v>
      </c>
      <c r="K150" s="16">
        <f>IF(COUNTIF($B$6:B150,B150)=COUNTIF($B$6:$B$162,B150),1,0)</f>
        <v>0</v>
      </c>
      <c r="L150" s="10">
        <f t="shared" si="31"/>
        <v>1000000</v>
      </c>
      <c r="M150" s="10">
        <f t="shared" si="32"/>
        <v>0</v>
      </c>
      <c r="N150" s="10">
        <f t="shared" si="33"/>
        <v>235294</v>
      </c>
      <c r="O150" s="16" t="str">
        <f t="shared" si="34"/>
        <v>OK</v>
      </c>
    </row>
    <row r="151" spans="2:15" x14ac:dyDescent="0.3">
      <c r="B151" s="14" t="s">
        <v>127</v>
      </c>
      <c r="C151" s="14" t="s">
        <v>82</v>
      </c>
      <c r="D151" s="14" t="s">
        <v>109</v>
      </c>
      <c r="E151" s="19">
        <v>4</v>
      </c>
      <c r="F151" s="18">
        <f t="shared" si="28"/>
        <v>17</v>
      </c>
      <c r="G151" s="20" t="s">
        <v>29</v>
      </c>
      <c r="H151" s="10">
        <f>IFERROR(VLOOKUP(G151,Tarif_Plan!$B$5:$G$10,6,FALSE()),"Kelas tdk ditemukan")</f>
        <v>1000000</v>
      </c>
      <c r="I151" s="15">
        <f t="shared" si="29"/>
        <v>0.23529411764705882</v>
      </c>
      <c r="J151" s="10">
        <f t="shared" si="30"/>
        <v>235294</v>
      </c>
      <c r="K151" s="16">
        <f>IF(COUNTIF($B$6:B151,B151)=COUNTIF($B$6:$B$162,B151),1,0)</f>
        <v>0</v>
      </c>
      <c r="L151" s="10">
        <f t="shared" si="31"/>
        <v>1000000</v>
      </c>
      <c r="M151" s="10">
        <f t="shared" si="32"/>
        <v>0</v>
      </c>
      <c r="N151" s="10">
        <f t="shared" si="33"/>
        <v>235294</v>
      </c>
      <c r="O151" s="16" t="str">
        <f t="shared" si="34"/>
        <v>OK</v>
      </c>
    </row>
    <row r="152" spans="2:15" x14ac:dyDescent="0.3">
      <c r="B152" s="14" t="s">
        <v>127</v>
      </c>
      <c r="C152" s="14" t="s">
        <v>76</v>
      </c>
      <c r="D152" s="14" t="s">
        <v>118</v>
      </c>
      <c r="E152" s="19">
        <v>0</v>
      </c>
      <c r="F152" s="18">
        <f t="shared" si="28"/>
        <v>17</v>
      </c>
      <c r="G152" s="20" t="s">
        <v>29</v>
      </c>
      <c r="H152" s="10">
        <f>IFERROR(VLOOKUP(G152,Tarif_Plan!$B$5:$G$10,6,FALSE()),"Kelas tdk ditemukan")</f>
        <v>1000000</v>
      </c>
      <c r="I152" s="15">
        <f t="shared" si="29"/>
        <v>0</v>
      </c>
      <c r="J152" s="10">
        <f t="shared" si="30"/>
        <v>0</v>
      </c>
      <c r="K152" s="16">
        <f>IF(COUNTIF($B$6:B152,B152)=COUNTIF($B$6:$B$162,B152),1,0)</f>
        <v>1</v>
      </c>
      <c r="L152" s="10">
        <f t="shared" si="31"/>
        <v>1000000</v>
      </c>
      <c r="M152" s="10">
        <f t="shared" si="32"/>
        <v>0</v>
      </c>
      <c r="N152" s="10">
        <f t="shared" si="33"/>
        <v>0</v>
      </c>
      <c r="O152" s="16" t="str">
        <f t="shared" si="34"/>
        <v>OK</v>
      </c>
    </row>
    <row r="153" spans="2:15" x14ac:dyDescent="0.3">
      <c r="B153" s="14" t="s">
        <v>128</v>
      </c>
      <c r="C153" s="14" t="s">
        <v>95</v>
      </c>
      <c r="D153" s="14" t="s">
        <v>111</v>
      </c>
      <c r="E153" s="19">
        <v>1</v>
      </c>
      <c r="F153" s="18">
        <f t="shared" si="28"/>
        <v>15</v>
      </c>
      <c r="G153" s="20" t="s">
        <v>28</v>
      </c>
      <c r="H153" s="10">
        <f>IFERROR(VLOOKUP(G153,Tarif_Plan!$B$5:$G$10,6,FALSE()),"Kelas tdk ditemukan")</f>
        <v>2000000</v>
      </c>
      <c r="I153" s="15">
        <f t="shared" si="29"/>
        <v>6.6666666666666666E-2</v>
      </c>
      <c r="J153" s="10">
        <f t="shared" si="30"/>
        <v>133333</v>
      </c>
      <c r="K153" s="16">
        <f>IF(COUNTIF($B$6:B153,B153)=COUNTIF($B$6:$B$162,B153),1,0)</f>
        <v>0</v>
      </c>
      <c r="L153" s="10">
        <f t="shared" si="31"/>
        <v>1999999</v>
      </c>
      <c r="M153" s="10">
        <f t="shared" si="32"/>
        <v>1</v>
      </c>
      <c r="N153" s="10">
        <f t="shared" si="33"/>
        <v>133333</v>
      </c>
      <c r="O153" s="16" t="str">
        <f t="shared" si="34"/>
        <v>OK</v>
      </c>
    </row>
    <row r="154" spans="2:15" x14ac:dyDescent="0.3">
      <c r="B154" s="14" t="s">
        <v>128</v>
      </c>
      <c r="C154" s="14" t="s">
        <v>64</v>
      </c>
      <c r="D154" s="14" t="s">
        <v>111</v>
      </c>
      <c r="E154" s="19">
        <v>1</v>
      </c>
      <c r="F154" s="18">
        <f t="shared" si="28"/>
        <v>15</v>
      </c>
      <c r="G154" s="20" t="s">
        <v>28</v>
      </c>
      <c r="H154" s="10">
        <f>IFERROR(VLOOKUP(G154,Tarif_Plan!$B$5:$G$10,6,FALSE()),"Kelas tdk ditemukan")</f>
        <v>2000000</v>
      </c>
      <c r="I154" s="15">
        <f t="shared" si="29"/>
        <v>6.6666666666666666E-2</v>
      </c>
      <c r="J154" s="10">
        <f t="shared" si="30"/>
        <v>133333</v>
      </c>
      <c r="K154" s="16">
        <f>IF(COUNTIF($B$6:B154,B154)=COUNTIF($B$6:$B$162,B154),1,0)</f>
        <v>0</v>
      </c>
      <c r="L154" s="10">
        <f t="shared" si="31"/>
        <v>1999999</v>
      </c>
      <c r="M154" s="10">
        <f t="shared" si="32"/>
        <v>1</v>
      </c>
      <c r="N154" s="10">
        <f t="shared" si="33"/>
        <v>133333</v>
      </c>
      <c r="O154" s="16" t="str">
        <f t="shared" si="34"/>
        <v>OK</v>
      </c>
    </row>
    <row r="155" spans="2:15" x14ac:dyDescent="0.3">
      <c r="B155" s="14" t="s">
        <v>128</v>
      </c>
      <c r="C155" s="14" t="s">
        <v>84</v>
      </c>
      <c r="D155" s="14" t="s">
        <v>111</v>
      </c>
      <c r="E155" s="19">
        <v>1</v>
      </c>
      <c r="F155" s="18">
        <f t="shared" si="28"/>
        <v>15</v>
      </c>
      <c r="G155" s="20" t="s">
        <v>28</v>
      </c>
      <c r="H155" s="10">
        <f>IFERROR(VLOOKUP(G155,Tarif_Plan!$B$5:$G$10,6,FALSE()),"Kelas tdk ditemukan")</f>
        <v>2000000</v>
      </c>
      <c r="I155" s="15">
        <f t="shared" si="29"/>
        <v>6.6666666666666666E-2</v>
      </c>
      <c r="J155" s="10">
        <f t="shared" si="30"/>
        <v>133333</v>
      </c>
      <c r="K155" s="16">
        <f>IF(COUNTIF($B$6:B155,B155)=COUNTIF($B$6:$B$162,B155),1,0)</f>
        <v>0</v>
      </c>
      <c r="L155" s="10">
        <f t="shared" si="31"/>
        <v>1999999</v>
      </c>
      <c r="M155" s="10">
        <f t="shared" si="32"/>
        <v>1</v>
      </c>
      <c r="N155" s="10">
        <f t="shared" si="33"/>
        <v>133333</v>
      </c>
      <c r="O155" s="16" t="str">
        <f t="shared" si="34"/>
        <v>OK</v>
      </c>
    </row>
    <row r="156" spans="2:15" x14ac:dyDescent="0.3">
      <c r="B156" s="14" t="s">
        <v>128</v>
      </c>
      <c r="C156" s="14" t="s">
        <v>100</v>
      </c>
      <c r="D156" s="14" t="s">
        <v>112</v>
      </c>
      <c r="E156" s="19">
        <v>1</v>
      </c>
      <c r="F156" s="18">
        <f t="shared" si="28"/>
        <v>15</v>
      </c>
      <c r="G156" s="20" t="s">
        <v>28</v>
      </c>
      <c r="H156" s="10">
        <f>IFERROR(VLOOKUP(G156,Tarif_Plan!$B$5:$G$10,6,FALSE()),"Kelas tdk ditemukan")</f>
        <v>2000000</v>
      </c>
      <c r="I156" s="15">
        <f t="shared" si="29"/>
        <v>6.6666666666666666E-2</v>
      </c>
      <c r="J156" s="10">
        <f t="shared" si="30"/>
        <v>133333</v>
      </c>
      <c r="K156" s="16">
        <f>IF(COUNTIF($B$6:B156,B156)=COUNTIF($B$6:$B$162,B156),1,0)</f>
        <v>0</v>
      </c>
      <c r="L156" s="10">
        <f t="shared" si="31"/>
        <v>1999999</v>
      </c>
      <c r="M156" s="10">
        <f t="shared" si="32"/>
        <v>1</v>
      </c>
      <c r="N156" s="10">
        <f t="shared" si="33"/>
        <v>133333</v>
      </c>
      <c r="O156" s="16" t="str">
        <f t="shared" si="34"/>
        <v>OK</v>
      </c>
    </row>
    <row r="157" spans="2:15" x14ac:dyDescent="0.3">
      <c r="B157" s="14" t="s">
        <v>128</v>
      </c>
      <c r="C157" s="14" t="s">
        <v>91</v>
      </c>
      <c r="D157" s="14" t="s">
        <v>112</v>
      </c>
      <c r="E157" s="19">
        <v>1</v>
      </c>
      <c r="F157" s="18">
        <f t="shared" si="28"/>
        <v>15</v>
      </c>
      <c r="G157" s="20" t="s">
        <v>28</v>
      </c>
      <c r="H157" s="10">
        <f>IFERROR(VLOOKUP(G157,Tarif_Plan!$B$5:$G$10,6,FALSE()),"Kelas tdk ditemukan")</f>
        <v>2000000</v>
      </c>
      <c r="I157" s="15">
        <f t="shared" si="29"/>
        <v>6.6666666666666666E-2</v>
      </c>
      <c r="J157" s="10">
        <f t="shared" si="30"/>
        <v>133333</v>
      </c>
      <c r="K157" s="16">
        <f>IF(COUNTIF($B$6:B157,B157)=COUNTIF($B$6:$B$162,B157),1,0)</f>
        <v>0</v>
      </c>
      <c r="L157" s="10">
        <f t="shared" si="31"/>
        <v>1999999</v>
      </c>
      <c r="M157" s="10">
        <f t="shared" si="32"/>
        <v>1</v>
      </c>
      <c r="N157" s="10">
        <f t="shared" si="33"/>
        <v>133333</v>
      </c>
      <c r="O157" s="16" t="str">
        <f t="shared" si="34"/>
        <v>OK</v>
      </c>
    </row>
    <row r="158" spans="2:15" x14ac:dyDescent="0.3">
      <c r="B158" s="14" t="s">
        <v>128</v>
      </c>
      <c r="C158" s="14" t="s">
        <v>101</v>
      </c>
      <c r="D158" s="14" t="s">
        <v>113</v>
      </c>
      <c r="E158" s="19">
        <v>1</v>
      </c>
      <c r="F158" s="18">
        <f t="shared" si="28"/>
        <v>15</v>
      </c>
      <c r="G158" s="20" t="s">
        <v>28</v>
      </c>
      <c r="H158" s="10">
        <f>IFERROR(VLOOKUP(G158,Tarif_Plan!$B$5:$G$10,6,FALSE()),"Kelas tdk ditemukan")</f>
        <v>2000000</v>
      </c>
      <c r="I158" s="15">
        <f t="shared" si="29"/>
        <v>6.6666666666666666E-2</v>
      </c>
      <c r="J158" s="10">
        <f t="shared" si="30"/>
        <v>133333</v>
      </c>
      <c r="K158" s="16">
        <f>IF(COUNTIF($B$6:B158,B158)=COUNTIF($B$6:$B$162,B158),1,0)</f>
        <v>0</v>
      </c>
      <c r="L158" s="10">
        <f t="shared" si="31"/>
        <v>1999999</v>
      </c>
      <c r="M158" s="10">
        <f t="shared" si="32"/>
        <v>1</v>
      </c>
      <c r="N158" s="10">
        <f t="shared" si="33"/>
        <v>133333</v>
      </c>
      <c r="O158" s="16" t="str">
        <f t="shared" si="34"/>
        <v>OK</v>
      </c>
    </row>
    <row r="159" spans="2:15" x14ac:dyDescent="0.3">
      <c r="B159" s="14" t="s">
        <v>128</v>
      </c>
      <c r="C159" s="14" t="s">
        <v>108</v>
      </c>
      <c r="D159" s="14" t="s">
        <v>109</v>
      </c>
      <c r="E159" s="19">
        <v>2</v>
      </c>
      <c r="F159" s="18">
        <f t="shared" si="28"/>
        <v>15</v>
      </c>
      <c r="G159" s="20" t="s">
        <v>28</v>
      </c>
      <c r="H159" s="10">
        <f>IFERROR(VLOOKUP(G159,Tarif_Plan!$B$5:$G$10,6,FALSE()),"Kelas tdk ditemukan")</f>
        <v>2000000</v>
      </c>
      <c r="I159" s="15">
        <f t="shared" si="29"/>
        <v>0.13333333333333333</v>
      </c>
      <c r="J159" s="10">
        <f t="shared" si="30"/>
        <v>266667</v>
      </c>
      <c r="K159" s="16">
        <f>IF(COUNTIF($B$6:B159,B159)=COUNTIF($B$6:$B$162,B159),1,0)</f>
        <v>0</v>
      </c>
      <c r="L159" s="10">
        <f t="shared" si="31"/>
        <v>1999999</v>
      </c>
      <c r="M159" s="10">
        <f t="shared" si="32"/>
        <v>1</v>
      </c>
      <c r="N159" s="10">
        <f t="shared" si="33"/>
        <v>266667</v>
      </c>
      <c r="O159" s="16" t="str">
        <f t="shared" si="34"/>
        <v>OK</v>
      </c>
    </row>
    <row r="160" spans="2:15" x14ac:dyDescent="0.3">
      <c r="B160" s="14" t="s">
        <v>128</v>
      </c>
      <c r="C160" s="14" t="s">
        <v>114</v>
      </c>
      <c r="D160" s="14" t="s">
        <v>109</v>
      </c>
      <c r="E160" s="19">
        <v>2</v>
      </c>
      <c r="F160" s="18">
        <f t="shared" si="28"/>
        <v>15</v>
      </c>
      <c r="G160" s="20" t="s">
        <v>28</v>
      </c>
      <c r="H160" s="10">
        <f>IFERROR(VLOOKUP(G160,Tarif_Plan!$B$5:$G$10,6,FALSE()),"Kelas tdk ditemukan")</f>
        <v>2000000</v>
      </c>
      <c r="I160" s="15">
        <f t="shared" si="29"/>
        <v>0.13333333333333333</v>
      </c>
      <c r="J160" s="10">
        <f t="shared" si="30"/>
        <v>266667</v>
      </c>
      <c r="K160" s="16">
        <f>IF(COUNTIF($B$6:B160,B160)=COUNTIF($B$6:$B$162,B160),1,0)</f>
        <v>0</v>
      </c>
      <c r="L160" s="10">
        <f t="shared" si="31"/>
        <v>1999999</v>
      </c>
      <c r="M160" s="10">
        <f t="shared" si="32"/>
        <v>1</v>
      </c>
      <c r="N160" s="10">
        <f t="shared" si="33"/>
        <v>266667</v>
      </c>
      <c r="O160" s="16" t="str">
        <f t="shared" si="34"/>
        <v>OK</v>
      </c>
    </row>
    <row r="161" spans="2:15" x14ac:dyDescent="0.3">
      <c r="B161" s="14" t="s">
        <v>128</v>
      </c>
      <c r="C161" s="14" t="s">
        <v>93</v>
      </c>
      <c r="D161" s="14" t="s">
        <v>109</v>
      </c>
      <c r="E161" s="19">
        <v>3</v>
      </c>
      <c r="F161" s="18">
        <f t="shared" si="28"/>
        <v>15</v>
      </c>
      <c r="G161" s="20" t="s">
        <v>28</v>
      </c>
      <c r="H161" s="10">
        <f>IFERROR(VLOOKUP(G161,Tarif_Plan!$B$5:$G$10,6,FALSE()),"Kelas tdk ditemukan")</f>
        <v>2000000</v>
      </c>
      <c r="I161" s="15">
        <f t="shared" si="29"/>
        <v>0.2</v>
      </c>
      <c r="J161" s="10">
        <f t="shared" si="30"/>
        <v>400000</v>
      </c>
      <c r="K161" s="16">
        <f>IF(COUNTIF($B$6:B161,B161)=COUNTIF($B$6:$B$162,B161),1,0)</f>
        <v>0</v>
      </c>
      <c r="L161" s="10">
        <f t="shared" si="31"/>
        <v>1999999</v>
      </c>
      <c r="M161" s="10">
        <f t="shared" si="32"/>
        <v>1</v>
      </c>
      <c r="N161" s="10">
        <f t="shared" si="33"/>
        <v>400000</v>
      </c>
      <c r="O161" s="16" t="str">
        <f t="shared" si="34"/>
        <v>OK</v>
      </c>
    </row>
    <row r="162" spans="2:15" x14ac:dyDescent="0.3">
      <c r="B162" s="14" t="s">
        <v>128</v>
      </c>
      <c r="C162" s="14" t="s">
        <v>82</v>
      </c>
      <c r="D162" s="14" t="s">
        <v>109</v>
      </c>
      <c r="E162" s="19">
        <v>2</v>
      </c>
      <c r="F162" s="18">
        <f t="shared" si="28"/>
        <v>15</v>
      </c>
      <c r="G162" s="20" t="s">
        <v>28</v>
      </c>
      <c r="H162" s="10">
        <f>IFERROR(VLOOKUP(G162,Tarif_Plan!$B$5:$G$10,6,FALSE()),"Kelas tdk ditemukan")</f>
        <v>2000000</v>
      </c>
      <c r="I162" s="15">
        <f t="shared" si="29"/>
        <v>0.13333333333333333</v>
      </c>
      <c r="J162" s="10">
        <f t="shared" si="30"/>
        <v>266667</v>
      </c>
      <c r="K162" s="16">
        <f>IF(COUNTIF($B$6:B162,B162)=COUNTIF($B$6:$B$162,B162),1,0)</f>
        <v>1</v>
      </c>
      <c r="L162" s="10">
        <f t="shared" si="31"/>
        <v>1999999</v>
      </c>
      <c r="M162" s="10">
        <f t="shared" si="32"/>
        <v>1</v>
      </c>
      <c r="N162" s="10">
        <f t="shared" si="33"/>
        <v>266668</v>
      </c>
      <c r="O162" s="16" t="str">
        <f t="shared" si="34"/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Tarif_Plan</vt:lpstr>
      <vt:lpstr>Pembagian_Pot_PM</vt:lpstr>
      <vt:lpstr>Simulasi_Rekap_Produksi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Galih Ayu Indah Triani</cp:lastModifiedBy>
  <cp:revision>0</cp:revision>
  <dcterms:created xsi:type="dcterms:W3CDTF">2026-09-02T08:06:56Z</dcterms:created>
  <dcterms:modified xsi:type="dcterms:W3CDTF">2026-09-09T06:33:56Z</dcterms:modified>
  <dc:language>en-US</dc:language>
</cp:coreProperties>
</file>